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raham\Downloads\"/>
    </mc:Choice>
  </mc:AlternateContent>
  <xr:revisionPtr revIDLastSave="0" documentId="13_ncr:1_{B91FFDB0-288F-4AAD-801A-67FD651062D9}" xr6:coauthVersionLast="47" xr6:coauthVersionMax="47" xr10:uidLastSave="{00000000-0000-0000-0000-000000000000}"/>
  <bookViews>
    <workbookView xWindow="-120" yWindow="-120" windowWidth="29040" windowHeight="15720" xr2:uid="{2F51F2F5-CC78-4044-83F3-B7D9AF8BD1F3}"/>
  </bookViews>
  <sheets>
    <sheet name="Data w Labels" sheetId="1" r:id="rId1"/>
    <sheet name="Concept(s) Analysis Breakdown" sheetId="2" r:id="rId2"/>
    <sheet name="In-Depth Analysis" sheetId="3" r:id="rId3"/>
    <sheet name="Graph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 a="1"/>
  <c r="L14" i="3" s="1"/>
  <c r="E14" i="3"/>
  <c r="D57" i="3" a="1"/>
  <c r="D57" i="3" s="1"/>
  <c r="J147" i="1" a="1"/>
  <c r="J147" i="1" s="1"/>
  <c r="J146" i="1" a="1"/>
  <c r="J146" i="1" s="1"/>
  <c r="G89" i="3" a="1"/>
  <c r="G89" i="3" s="1"/>
  <c r="G88" i="3" a="1"/>
  <c r="G88" i="3" s="1"/>
  <c r="G87" i="3" a="1"/>
  <c r="G87" i="3" s="1"/>
  <c r="G86" i="3" a="1"/>
  <c r="G86" i="3" s="1"/>
  <c r="G85" i="3" a="1"/>
  <c r="G85" i="3" s="1"/>
  <c r="G84" i="3" a="1"/>
  <c r="G84" i="3" s="1"/>
  <c r="G83" i="3" a="1"/>
  <c r="G83" i="3" s="1"/>
  <c r="G82" i="3" a="1"/>
  <c r="G82" i="3" s="1"/>
  <c r="E89" i="3" a="1"/>
  <c r="E89" i="3" s="1"/>
  <c r="E88" i="3" a="1"/>
  <c r="E88" i="3" s="1"/>
  <c r="E87" i="3" a="1"/>
  <c r="E87" i="3" s="1"/>
  <c r="E86" i="3" a="1"/>
  <c r="E86" i="3" s="1"/>
  <c r="E85" i="3" a="1"/>
  <c r="E85" i="3" s="1"/>
  <c r="E84" i="3" a="1"/>
  <c r="E84" i="3" s="1"/>
  <c r="E83" i="3" a="1"/>
  <c r="E83" i="3" s="1"/>
  <c r="E82" i="3" a="1"/>
  <c r="E82" i="3" s="1"/>
  <c r="D89" i="3" a="1"/>
  <c r="D89" i="3" s="1"/>
  <c r="D88" i="3" a="1"/>
  <c r="D88" i="3" s="1"/>
  <c r="D87" i="3" a="1"/>
  <c r="D87" i="3" s="1"/>
  <c r="D86" i="3" a="1"/>
  <c r="D86" i="3" s="1"/>
  <c r="D85" i="3" a="1"/>
  <c r="D85" i="3" s="1"/>
  <c r="D84" i="3" a="1"/>
  <c r="D84" i="3" s="1"/>
  <c r="D83" i="3" a="1"/>
  <c r="D83" i="3" s="1"/>
  <c r="D82" i="3" a="1"/>
  <c r="D82" i="3" s="1"/>
  <c r="J145" i="1" a="1"/>
  <c r="J145" i="1" s="1"/>
  <c r="J144" i="1" a="1"/>
  <c r="J144" i="1" s="1"/>
  <c r="J143" i="1" a="1"/>
  <c r="J143" i="1" s="1"/>
  <c r="J142" i="1" a="1"/>
  <c r="J142" i="1" s="1"/>
  <c r="J141" i="1" a="1"/>
  <c r="J141" i="1" s="1"/>
  <c r="J140" i="1" a="1"/>
  <c r="J140" i="1" s="1"/>
  <c r="J139" i="1" a="1"/>
  <c r="J139" i="1" s="1"/>
  <c r="J138" i="1" a="1"/>
  <c r="J138" i="1" s="1"/>
  <c r="J137" i="1" a="1"/>
  <c r="J137" i="1" s="1"/>
  <c r="J136" i="1" a="1"/>
  <c r="J136" i="1" s="1"/>
  <c r="J135" i="1" a="1"/>
  <c r="J135" i="1" s="1"/>
  <c r="J134" i="1" a="1"/>
  <c r="J134" i="1" s="1"/>
  <c r="F82" i="3" l="1"/>
  <c r="F86" i="3"/>
  <c r="F84" i="3"/>
  <c r="F87" i="3"/>
  <c r="F83" i="3"/>
  <c r="F85" i="3"/>
  <c r="F88" i="3"/>
  <c r="F89" i="3"/>
  <c r="H89" i="3"/>
  <c r="H88" i="3"/>
  <c r="H87" i="3"/>
  <c r="H86" i="3"/>
  <c r="H85" i="3"/>
  <c r="H83" i="3"/>
  <c r="H84" i="3"/>
  <c r="J133" i="1" a="1"/>
  <c r="J133" i="1" s="1"/>
  <c r="J132" i="1" a="1"/>
  <c r="J132" i="1" s="1"/>
  <c r="J131" i="1" a="1"/>
  <c r="J131" i="1" s="1"/>
  <c r="J130" i="1" a="1"/>
  <c r="J130" i="1" s="1"/>
  <c r="D81" i="3" a="1"/>
  <c r="D81" i="3" s="1"/>
  <c r="J129" i="1" a="1"/>
  <c r="J129" i="1" s="1"/>
  <c r="G81" i="3" a="1"/>
  <c r="G81" i="3" s="1"/>
  <c r="H82" i="3" s="1"/>
  <c r="G80" i="3" a="1"/>
  <c r="G80" i="3" s="1"/>
  <c r="G79" i="3" a="1"/>
  <c r="G79" i="3" s="1"/>
  <c r="G78" i="3" a="1"/>
  <c r="G78" i="3" s="1"/>
  <c r="G77" i="3" a="1"/>
  <c r="G77" i="3" s="1"/>
  <c r="E81" i="3" a="1"/>
  <c r="E81" i="3" s="1"/>
  <c r="E77" i="3" a="1"/>
  <c r="E77" i="3" s="1"/>
  <c r="E80" i="3" a="1"/>
  <c r="E80" i="3" s="1"/>
  <c r="D80" i="3" a="1"/>
  <c r="D80" i="3" s="1"/>
  <c r="E79" i="3" a="1"/>
  <c r="E79" i="3" s="1"/>
  <c r="D79" i="3" a="1"/>
  <c r="D79" i="3" s="1"/>
  <c r="E78" i="3" a="1"/>
  <c r="E78" i="3" s="1"/>
  <c r="D78" i="3" a="1"/>
  <c r="D78" i="3" s="1"/>
  <c r="D77" i="3" a="1"/>
  <c r="D77" i="3" s="1"/>
  <c r="J128" i="1" a="1"/>
  <c r="J128" i="1" s="1"/>
  <c r="J127" i="1" a="1"/>
  <c r="J127" i="1" s="1"/>
  <c r="J126" i="1" a="1"/>
  <c r="J126" i="1" s="1"/>
  <c r="J125" i="1" a="1"/>
  <c r="J125" i="1" s="1"/>
  <c r="J4" i="4"/>
  <c r="I4" i="4"/>
  <c r="H4" i="4"/>
  <c r="G4" i="4"/>
  <c r="F4" i="4"/>
  <c r="E4" i="4"/>
  <c r="D4" i="4"/>
  <c r="C4" i="4"/>
  <c r="B12" i="4"/>
  <c r="B11" i="4"/>
  <c r="B10" i="4"/>
  <c r="B9" i="4"/>
  <c r="B8" i="4"/>
  <c r="B7" i="4"/>
  <c r="B6" i="4"/>
  <c r="B5" i="4"/>
  <c r="J124" i="1" a="1"/>
  <c r="J124" i="1" s="1"/>
  <c r="J123" i="1" a="1"/>
  <c r="J123" i="1" s="1"/>
  <c r="J122" i="1" a="1"/>
  <c r="J122" i="1" s="1"/>
  <c r="J121" i="1" a="1"/>
  <c r="J121" i="1" s="1"/>
  <c r="J120" i="1" a="1"/>
  <c r="J120" i="1" s="1"/>
  <c r="J119" i="1" a="1"/>
  <c r="J119" i="1" s="1"/>
  <c r="J118" i="1" a="1"/>
  <c r="J118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20" i="1" a="1"/>
  <c r="J20" i="1" s="1"/>
  <c r="H80" i="3" l="1"/>
  <c r="H77" i="3" a="1"/>
  <c r="H77" i="3" s="1"/>
  <c r="H78" i="3"/>
  <c r="H79" i="3"/>
  <c r="H81" i="3"/>
  <c r="F77" i="3"/>
  <c r="F78" i="3"/>
  <c r="F81" i="3"/>
  <c r="F80" i="3"/>
  <c r="F79" i="3"/>
  <c r="DQ6" i="2" a="1"/>
  <c r="EE8" i="2" s="1" a="1"/>
  <c r="EE8" i="2" s="1"/>
  <c r="D14" i="3" s="1"/>
  <c r="C12" i="4" s="1"/>
  <c r="CZ6" i="2" a="1"/>
  <c r="BR6" i="2" a="1"/>
  <c r="B6" i="2" a="1"/>
  <c r="CI6" i="2" a="1"/>
  <c r="S6" i="2" a="1"/>
  <c r="BA6" i="2" a="1"/>
  <c r="AJ6" i="2" a="1"/>
  <c r="EB8" i="2" l="1"/>
  <c r="EB9" i="2"/>
  <c r="EB11" i="2"/>
  <c r="EE9" i="2" a="1"/>
  <c r="EE9" i="2" s="1"/>
  <c r="D12" i="4" s="1"/>
  <c r="EB10" i="2"/>
  <c r="EB12" i="2"/>
  <c r="ED8" i="2" s="1" a="1"/>
  <c r="ED8" i="2" s="1"/>
  <c r="DQ6" i="2"/>
  <c r="AH9" i="2" a="1"/>
  <c r="AH9" i="2" s="1"/>
  <c r="E45" i="3" s="1"/>
  <c r="AH10" i="2" a="1"/>
  <c r="AH10" i="2" s="1"/>
  <c r="F45" i="3" s="1"/>
  <c r="AH11" i="2" a="1"/>
  <c r="AH11" i="2" s="1"/>
  <c r="G45" i="3" s="1"/>
  <c r="AH12" i="2" a="1"/>
  <c r="AH12" i="2" s="1"/>
  <c r="H45" i="3" s="1"/>
  <c r="AH13" i="2" a="1"/>
  <c r="AH13" i="2" s="1"/>
  <c r="I45" i="3" s="1"/>
  <c r="AH14" i="2" a="1"/>
  <c r="AH14" i="2" s="1"/>
  <c r="J45" i="3" s="1"/>
  <c r="AH15" i="2" a="1"/>
  <c r="AH15" i="2" s="1"/>
  <c r="K45" i="3" s="1"/>
  <c r="AH8" i="2" a="1"/>
  <c r="AH8" i="2" s="1"/>
  <c r="D45" i="3" s="1"/>
  <c r="BP9" i="2" a="1"/>
  <c r="BP9" i="2" s="1"/>
  <c r="E47" i="3" s="1"/>
  <c r="BP10" i="2" a="1"/>
  <c r="BP10" i="2" s="1"/>
  <c r="F47" i="3" s="1"/>
  <c r="BP11" i="2" a="1"/>
  <c r="BP11" i="2" s="1"/>
  <c r="G47" i="3" s="1"/>
  <c r="BP12" i="2" a="1"/>
  <c r="BP12" i="2" s="1"/>
  <c r="H47" i="3" s="1"/>
  <c r="BP13" i="2" a="1"/>
  <c r="BP13" i="2" s="1"/>
  <c r="I47" i="3" s="1"/>
  <c r="BP14" i="2" a="1"/>
  <c r="BP14" i="2" s="1"/>
  <c r="J47" i="3" s="1"/>
  <c r="BP15" i="2" a="1"/>
  <c r="BP15" i="2" s="1"/>
  <c r="K47" i="3" s="1"/>
  <c r="BP8" i="2" a="1"/>
  <c r="BP8" i="2" s="1"/>
  <c r="D47" i="3" s="1"/>
  <c r="CX9" i="2" a="1"/>
  <c r="CX9" i="2" s="1"/>
  <c r="E49" i="3" s="1"/>
  <c r="CX10" i="2" a="1"/>
  <c r="CX10" i="2" s="1"/>
  <c r="F49" i="3" s="1"/>
  <c r="CX11" i="2" a="1"/>
  <c r="CX11" i="2" s="1"/>
  <c r="G49" i="3" s="1"/>
  <c r="CX12" i="2" a="1"/>
  <c r="CX12" i="2" s="1"/>
  <c r="H49" i="3" s="1"/>
  <c r="CX13" i="2" a="1"/>
  <c r="CX13" i="2" s="1"/>
  <c r="I49" i="3" s="1"/>
  <c r="CX14" i="2" a="1"/>
  <c r="CX14" i="2" s="1"/>
  <c r="J49" i="3" s="1"/>
  <c r="CX15" i="2" a="1"/>
  <c r="CX15" i="2" s="1"/>
  <c r="K49" i="3" s="1"/>
  <c r="CX8" i="2" a="1"/>
  <c r="CX8" i="2" s="1"/>
  <c r="D49" i="3" s="1"/>
  <c r="AY15" i="2" a="1"/>
  <c r="AY15" i="2" s="1"/>
  <c r="K46" i="3" s="1"/>
  <c r="AY8" i="2" a="1"/>
  <c r="AY8" i="2" s="1"/>
  <c r="D46" i="3" s="1"/>
  <c r="AY9" i="2" a="1"/>
  <c r="AY9" i="2" s="1"/>
  <c r="E46" i="3" s="1"/>
  <c r="AY10" i="2" a="1"/>
  <c r="AY10" i="2" s="1"/>
  <c r="F46" i="3" s="1"/>
  <c r="AY12" i="2" a="1"/>
  <c r="AY12" i="2" s="1"/>
  <c r="H46" i="3" s="1"/>
  <c r="AY11" i="2" a="1"/>
  <c r="AY11" i="2" s="1"/>
  <c r="G46" i="3" s="1"/>
  <c r="AY13" i="2" a="1"/>
  <c r="AY13" i="2" s="1"/>
  <c r="I46" i="3" s="1"/>
  <c r="AY14" i="2" a="1"/>
  <c r="AY14" i="2" s="1"/>
  <c r="J46" i="3" s="1"/>
  <c r="CG15" i="2" a="1"/>
  <c r="CG15" i="2" s="1"/>
  <c r="K48" i="3" s="1"/>
  <c r="CG8" i="2" a="1"/>
  <c r="CG8" i="2" s="1"/>
  <c r="D48" i="3" s="1"/>
  <c r="CG9" i="2" a="1"/>
  <c r="CG9" i="2" s="1"/>
  <c r="E48" i="3" s="1"/>
  <c r="CG10" i="2" a="1"/>
  <c r="CG10" i="2" s="1"/>
  <c r="F48" i="3" s="1"/>
  <c r="CG11" i="2" a="1"/>
  <c r="CG11" i="2" s="1"/>
  <c r="G48" i="3" s="1"/>
  <c r="CG12" i="2" a="1"/>
  <c r="CG12" i="2" s="1"/>
  <c r="H48" i="3" s="1"/>
  <c r="CG13" i="2" a="1"/>
  <c r="CG13" i="2" s="1"/>
  <c r="I48" i="3" s="1"/>
  <c r="CG14" i="2" a="1"/>
  <c r="CG14" i="2" s="1"/>
  <c r="J48" i="3" s="1"/>
  <c r="DO15" i="2" a="1"/>
  <c r="DO15" i="2" s="1"/>
  <c r="K50" i="3" s="1"/>
  <c r="DO8" i="2" a="1"/>
  <c r="DO8" i="2" s="1"/>
  <c r="D50" i="3" s="1"/>
  <c r="DO9" i="2" a="1"/>
  <c r="DO9" i="2" s="1"/>
  <c r="E50" i="3" s="1"/>
  <c r="DO10" i="2" a="1"/>
  <c r="DO10" i="2" s="1"/>
  <c r="F50" i="3" s="1"/>
  <c r="DO11" i="2" a="1"/>
  <c r="DO11" i="2" s="1"/>
  <c r="G50" i="3" s="1"/>
  <c r="DO12" i="2" a="1"/>
  <c r="DO12" i="2" s="1"/>
  <c r="H50" i="3" s="1"/>
  <c r="DO13" i="2" a="1"/>
  <c r="DO13" i="2" s="1"/>
  <c r="I50" i="3" s="1"/>
  <c r="DO14" i="2" a="1"/>
  <c r="DO14" i="2" s="1"/>
  <c r="J50" i="3" s="1"/>
  <c r="EE14" i="2" a="1"/>
  <c r="EE14" i="2" s="1"/>
  <c r="J14" i="3" s="1"/>
  <c r="I12" i="4" s="1"/>
  <c r="EE13" i="2" a="1"/>
  <c r="EE13" i="2" s="1"/>
  <c r="I14" i="3" s="1"/>
  <c r="H12" i="4" s="1"/>
  <c r="EE12" i="2" a="1"/>
  <c r="EE12" i="2" s="1"/>
  <c r="H14" i="3" s="1"/>
  <c r="G12" i="4" s="1"/>
  <c r="EE11" i="2" a="1"/>
  <c r="EE11" i="2" s="1"/>
  <c r="G14" i="3" s="1"/>
  <c r="F12" i="4" s="1"/>
  <c r="EE10" i="2" a="1"/>
  <c r="EE10" i="2" s="1"/>
  <c r="F14" i="3" s="1"/>
  <c r="E12" i="4" s="1"/>
  <c r="EE15" i="2" a="1"/>
  <c r="EE15" i="2" s="1"/>
  <c r="K14" i="3" s="1"/>
  <c r="J12" i="4" s="1"/>
  <c r="EF9" i="2" a="1"/>
  <c r="EF9" i="2" s="1"/>
  <c r="E51" i="3" s="1"/>
  <c r="EF10" i="2" a="1"/>
  <c r="EF10" i="2" s="1"/>
  <c r="F51" i="3" s="1"/>
  <c r="EF11" i="2" a="1"/>
  <c r="EF11" i="2" s="1"/>
  <c r="G51" i="3" s="1"/>
  <c r="EF12" i="2" a="1"/>
  <c r="EF12" i="2" s="1"/>
  <c r="H51" i="3" s="1"/>
  <c r="EF13" i="2" a="1"/>
  <c r="EF13" i="2" s="1"/>
  <c r="I51" i="3" s="1"/>
  <c r="EF14" i="2" a="1"/>
  <c r="EF14" i="2" s="1"/>
  <c r="J51" i="3" s="1"/>
  <c r="EF15" i="2" a="1"/>
  <c r="EF15" i="2" s="1"/>
  <c r="K51" i="3" s="1"/>
  <c r="EF8" i="2" a="1"/>
  <c r="EF8" i="2" s="1"/>
  <c r="D51" i="3" s="1"/>
  <c r="D63" i="3" s="1" a="1"/>
  <c r="D63" i="3" s="1"/>
  <c r="ED15" i="2" a="1"/>
  <c r="ED15" i="2" s="1"/>
  <c r="P8" i="2" a="1"/>
  <c r="P8" i="2" s="1"/>
  <c r="D7" i="3" s="1"/>
  <c r="C5" i="4" s="1"/>
  <c r="DN15" i="2" a="1"/>
  <c r="DN15" i="2" s="1"/>
  <c r="K13" i="3" s="1"/>
  <c r="J11" i="4" s="1"/>
  <c r="DN14" i="2" a="1"/>
  <c r="DN14" i="2" s="1"/>
  <c r="J13" i="3" s="1"/>
  <c r="I11" i="4" s="1"/>
  <c r="DN13" i="2" a="1"/>
  <c r="DN13" i="2" s="1"/>
  <c r="I13" i="3" s="1"/>
  <c r="H11" i="4" s="1"/>
  <c r="DN12" i="2" a="1"/>
  <c r="DN12" i="2" s="1"/>
  <c r="H13" i="3" s="1"/>
  <c r="G11" i="4" s="1"/>
  <c r="DN11" i="2" a="1"/>
  <c r="DN11" i="2" s="1"/>
  <c r="G13" i="3" s="1"/>
  <c r="F11" i="4" s="1"/>
  <c r="DN8" i="2" a="1"/>
  <c r="DN8" i="2" s="1"/>
  <c r="D13" i="3" s="1"/>
  <c r="DN10" i="2" a="1"/>
  <c r="DN10" i="2" s="1"/>
  <c r="F13" i="3" s="1"/>
  <c r="DN9" i="2" a="1"/>
  <c r="DN9" i="2" s="1"/>
  <c r="E13" i="3" s="1"/>
  <c r="CW15" i="2" a="1"/>
  <c r="CW15" i="2" s="1"/>
  <c r="K12" i="3" s="1"/>
  <c r="CW8" i="2" a="1"/>
  <c r="CW8" i="2" s="1"/>
  <c r="D12" i="3" s="1"/>
  <c r="CW14" i="2" a="1"/>
  <c r="CW14" i="2" s="1"/>
  <c r="J12" i="3" s="1"/>
  <c r="CW13" i="2" a="1"/>
  <c r="CW13" i="2" s="1"/>
  <c r="I12" i="3" s="1"/>
  <c r="CW12" i="2" a="1"/>
  <c r="CW12" i="2" s="1"/>
  <c r="H12" i="3" s="1"/>
  <c r="CW11" i="2" a="1"/>
  <c r="CW11" i="2" s="1"/>
  <c r="G12" i="3" s="1"/>
  <c r="CW10" i="2" a="1"/>
  <c r="CW10" i="2" s="1"/>
  <c r="F12" i="3" s="1"/>
  <c r="E10" i="4" s="1"/>
  <c r="CW9" i="2" a="1"/>
  <c r="CW9" i="2" s="1"/>
  <c r="E12" i="3" s="1"/>
  <c r="CF15" i="2" a="1"/>
  <c r="CF15" i="2" s="1"/>
  <c r="K11" i="3" s="1"/>
  <c r="CF14" i="2" a="1"/>
  <c r="CF14" i="2" s="1"/>
  <c r="J11" i="3" s="1"/>
  <c r="CF13" i="2" a="1"/>
  <c r="CF13" i="2" s="1"/>
  <c r="I11" i="3" s="1"/>
  <c r="CF12" i="2" a="1"/>
  <c r="CF12" i="2" s="1"/>
  <c r="H11" i="3" s="1"/>
  <c r="CF11" i="2" a="1"/>
  <c r="CF11" i="2" s="1"/>
  <c r="G11" i="3" s="1"/>
  <c r="CF10" i="2" a="1"/>
  <c r="CF10" i="2" s="1"/>
  <c r="F11" i="3" s="1"/>
  <c r="CF9" i="2" a="1"/>
  <c r="CF9" i="2" s="1"/>
  <c r="E11" i="3" s="1"/>
  <c r="CF8" i="2" a="1"/>
  <c r="CF8" i="2" s="1"/>
  <c r="D11" i="3" s="1"/>
  <c r="C9" i="4" s="1"/>
  <c r="AX8" i="2" a="1"/>
  <c r="AX8" i="2" s="1"/>
  <c r="D9" i="3" s="1"/>
  <c r="AX9" i="2" a="1"/>
  <c r="AX9" i="2" s="1"/>
  <c r="E9" i="3" s="1"/>
  <c r="AX10" i="2" a="1"/>
  <c r="AX10" i="2" s="1"/>
  <c r="F9" i="3" s="1"/>
  <c r="AX11" i="2" a="1"/>
  <c r="AX11" i="2" s="1"/>
  <c r="G9" i="3" s="1"/>
  <c r="AX12" i="2" a="1"/>
  <c r="AX12" i="2" s="1"/>
  <c r="H9" i="3" s="1"/>
  <c r="AX13" i="2" a="1"/>
  <c r="AX13" i="2" s="1"/>
  <c r="I9" i="3" s="1"/>
  <c r="AX14" i="2" a="1"/>
  <c r="AX14" i="2" s="1"/>
  <c r="J9" i="3" s="1"/>
  <c r="I7" i="4" s="1"/>
  <c r="AX15" i="2" a="1"/>
  <c r="AX15" i="2" s="1"/>
  <c r="K9" i="3" s="1"/>
  <c r="J7" i="4" s="1"/>
  <c r="BO11" i="2" a="1"/>
  <c r="BO11" i="2" s="1"/>
  <c r="G10" i="3" s="1"/>
  <c r="BO10" i="2" a="1"/>
  <c r="BO10" i="2" s="1"/>
  <c r="F10" i="3" s="1"/>
  <c r="BO9" i="2" a="1"/>
  <c r="BO9" i="2" s="1"/>
  <c r="E10" i="3" s="1"/>
  <c r="D8" i="4" s="1"/>
  <c r="BO8" i="2" a="1"/>
  <c r="BO8" i="2" s="1"/>
  <c r="D10" i="3" s="1"/>
  <c r="BO15" i="2" a="1"/>
  <c r="BO15" i="2" s="1"/>
  <c r="K10" i="3" s="1"/>
  <c r="BO14" i="2" a="1"/>
  <c r="BO14" i="2" s="1"/>
  <c r="J10" i="3" s="1"/>
  <c r="BO13" i="2" a="1"/>
  <c r="BO13" i="2" s="1"/>
  <c r="I10" i="3" s="1"/>
  <c r="BO12" i="2" a="1"/>
  <c r="BO12" i="2" s="1"/>
  <c r="H10" i="3" s="1"/>
  <c r="AG11" i="2" a="1"/>
  <c r="AG11" i="2" s="1"/>
  <c r="G8" i="3" s="1"/>
  <c r="AG10" i="2" a="1"/>
  <c r="AG10" i="2" s="1"/>
  <c r="F8" i="3" s="1"/>
  <c r="AG9" i="2" a="1"/>
  <c r="AG9" i="2" s="1"/>
  <c r="E8" i="3" s="1"/>
  <c r="AG8" i="2" a="1"/>
  <c r="AG8" i="2" s="1"/>
  <c r="D8" i="3" s="1"/>
  <c r="AG15" i="2" a="1"/>
  <c r="AG15" i="2" s="1"/>
  <c r="K8" i="3" s="1"/>
  <c r="AG14" i="2" a="1"/>
  <c r="AG14" i="2" s="1"/>
  <c r="J8" i="3" s="1"/>
  <c r="AG13" i="2" a="1"/>
  <c r="AG13" i="2" s="1"/>
  <c r="I8" i="3" s="1"/>
  <c r="AG12" i="2" a="1"/>
  <c r="AG12" i="2" s="1"/>
  <c r="H8" i="3" s="1"/>
  <c r="S6" i="2"/>
  <c r="CT11" i="2"/>
  <c r="BR6" i="2"/>
  <c r="CZ6" i="2"/>
  <c r="P9" i="2" a="1"/>
  <c r="P9" i="2" s="1"/>
  <c r="E7" i="3" s="1"/>
  <c r="D5" i="4" s="1"/>
  <c r="P10" i="2" a="1"/>
  <c r="P10" i="2" s="1"/>
  <c r="F7" i="3" s="1"/>
  <c r="E5" i="4" s="1"/>
  <c r="P11" i="2" a="1"/>
  <c r="P11" i="2" s="1"/>
  <c r="G7" i="3" s="1"/>
  <c r="F5" i="4" s="1"/>
  <c r="P12" i="2" a="1"/>
  <c r="P12" i="2" s="1"/>
  <c r="H7" i="3" s="1"/>
  <c r="G5" i="4" s="1"/>
  <c r="P13" i="2" a="1"/>
  <c r="P13" i="2" s="1"/>
  <c r="I7" i="3" s="1"/>
  <c r="H5" i="4" s="1"/>
  <c r="P14" i="2" a="1"/>
  <c r="P14" i="2" s="1"/>
  <c r="J7" i="3" s="1"/>
  <c r="I5" i="4" s="1"/>
  <c r="P15" i="2" a="1"/>
  <c r="P15" i="2" s="1"/>
  <c r="K7" i="3" s="1"/>
  <c r="J5" i="4" s="1"/>
  <c r="K6" i="2"/>
  <c r="DK8" i="2"/>
  <c r="DK9" i="2"/>
  <c r="CC11" i="2"/>
  <c r="DK11" i="2"/>
  <c r="CC10" i="2"/>
  <c r="DK12" i="2"/>
  <c r="DM15" i="2" s="1" a="1"/>
  <c r="DM15" i="2" s="1"/>
  <c r="CC9" i="2"/>
  <c r="CC8" i="2"/>
  <c r="CT12" i="2"/>
  <c r="CV15" i="2" s="1" a="1"/>
  <c r="CV15" i="2" s="1"/>
  <c r="DK10" i="2"/>
  <c r="CC12" i="2"/>
  <c r="CT8" i="2"/>
  <c r="CT9" i="2"/>
  <c r="CI6" i="2"/>
  <c r="K8" i="2"/>
  <c r="K14" i="2"/>
  <c r="K11" i="2"/>
  <c r="M10" i="2"/>
  <c r="K15" i="2"/>
  <c r="K9" i="2"/>
  <c r="K16" i="2"/>
  <c r="AD8" i="2"/>
  <c r="M9" i="2"/>
  <c r="K7" i="2"/>
  <c r="K17" i="2"/>
  <c r="M8" i="2"/>
  <c r="K13" i="2"/>
  <c r="AD9" i="2"/>
  <c r="M12" i="2"/>
  <c r="O15" i="2" s="1" a="1"/>
  <c r="O15" i="2" s="1"/>
  <c r="K12" i="2"/>
  <c r="AD10" i="2"/>
  <c r="B6" i="2"/>
  <c r="M11" i="2"/>
  <c r="AD12" i="2"/>
  <c r="AF8" i="2" s="1" a="1"/>
  <c r="AF8" i="2" s="1"/>
  <c r="AD11" i="2"/>
  <c r="CT10" i="2"/>
  <c r="K10" i="2"/>
  <c r="AJ6" i="2"/>
  <c r="AU10" i="2"/>
  <c r="AU9" i="2"/>
  <c r="AU8" i="2"/>
  <c r="AU11" i="2"/>
  <c r="AU12" i="2"/>
  <c r="AW8" i="2" s="1" a="1"/>
  <c r="AW8" i="2" s="1"/>
  <c r="BA6" i="2"/>
  <c r="BL12" i="2"/>
  <c r="BN8" i="2" s="1" a="1"/>
  <c r="BN8" i="2" s="1"/>
  <c r="BL11" i="2"/>
  <c r="BL10" i="2"/>
  <c r="BL9" i="2"/>
  <c r="BL8" i="2"/>
  <c r="AF9" i="2" l="1" a="1"/>
  <c r="AF9" i="2" s="1"/>
  <c r="ED13" i="2" a="1"/>
  <c r="ED13" i="2" s="1"/>
  <c r="ED11" i="2" a="1"/>
  <c r="ED11" i="2" s="1"/>
  <c r="ED12" i="2" a="1"/>
  <c r="ED12" i="2" s="1"/>
  <c r="J59" i="3" a="1"/>
  <c r="J59" i="3" s="1"/>
  <c r="I8" i="4"/>
  <c r="F60" i="3" a="1"/>
  <c r="F60" i="3" s="1"/>
  <c r="E9" i="4"/>
  <c r="E62" i="3" a="1"/>
  <c r="E62" i="3" s="1"/>
  <c r="D11" i="4"/>
  <c r="F57" i="3" a="1"/>
  <c r="F57" i="3" s="1"/>
  <c r="E6" i="4"/>
  <c r="K59" i="3" a="1"/>
  <c r="K59" i="3" s="1"/>
  <c r="J8" i="4"/>
  <c r="G60" i="3" a="1"/>
  <c r="G60" i="3" s="1"/>
  <c r="F9" i="4"/>
  <c r="F62" i="3" a="1"/>
  <c r="F62" i="3" s="1"/>
  <c r="E11" i="4"/>
  <c r="D61" i="3" a="1"/>
  <c r="D61" i="3" s="1"/>
  <c r="C10" i="4"/>
  <c r="D59" i="3" a="1"/>
  <c r="D59" i="3" s="1"/>
  <c r="C8" i="4"/>
  <c r="H60" i="3" a="1"/>
  <c r="H60" i="3" s="1"/>
  <c r="G9" i="4"/>
  <c r="D62" i="3" a="1"/>
  <c r="D62" i="3" s="1"/>
  <c r="C11" i="4"/>
  <c r="I60" i="3" a="1"/>
  <c r="I60" i="3" s="1"/>
  <c r="H9" i="4"/>
  <c r="F59" i="3" a="1"/>
  <c r="F59" i="3" s="1"/>
  <c r="E8" i="4"/>
  <c r="J60" i="3" a="1"/>
  <c r="J60" i="3" s="1"/>
  <c r="I9" i="4"/>
  <c r="I57" i="3" a="1"/>
  <c r="I57" i="3" s="1"/>
  <c r="H6" i="4"/>
  <c r="I58" i="3" a="1"/>
  <c r="I58" i="3" s="1"/>
  <c r="H7" i="4"/>
  <c r="G61" i="3" a="1"/>
  <c r="G61" i="3" s="1"/>
  <c r="F10" i="4"/>
  <c r="K60" i="3" a="1"/>
  <c r="K60" i="3" s="1"/>
  <c r="J9" i="4"/>
  <c r="J57" i="3" a="1"/>
  <c r="J57" i="3" s="1"/>
  <c r="I6" i="4"/>
  <c r="K57" i="3" a="1"/>
  <c r="K57" i="3" s="1"/>
  <c r="J6" i="4"/>
  <c r="H58" i="3" a="1"/>
  <c r="H58" i="3" s="1"/>
  <c r="G7" i="4"/>
  <c r="H61" i="3" a="1"/>
  <c r="H61" i="3" s="1"/>
  <c r="G10" i="4"/>
  <c r="G59" i="3" a="1"/>
  <c r="G59" i="3" s="1"/>
  <c r="F8" i="4"/>
  <c r="E61" i="3" a="1"/>
  <c r="E61" i="3" s="1"/>
  <c r="D10" i="4"/>
  <c r="C6" i="4"/>
  <c r="G58" i="3" a="1"/>
  <c r="G58" i="3" s="1"/>
  <c r="F7" i="4"/>
  <c r="I61" i="3" a="1"/>
  <c r="I61" i="3" s="1"/>
  <c r="H10" i="4"/>
  <c r="H57" i="3" a="1"/>
  <c r="H57" i="3" s="1"/>
  <c r="G6" i="4"/>
  <c r="E57" i="3" a="1"/>
  <c r="E57" i="3" s="1"/>
  <c r="D6" i="4"/>
  <c r="F58" i="3" a="1"/>
  <c r="F58" i="3" s="1"/>
  <c r="E7" i="4"/>
  <c r="J61" i="3" a="1"/>
  <c r="J61" i="3" s="1"/>
  <c r="I10" i="4"/>
  <c r="E58" i="3" a="1"/>
  <c r="E58" i="3" s="1"/>
  <c r="D7" i="4"/>
  <c r="G57" i="3" a="1"/>
  <c r="G57" i="3" s="1"/>
  <c r="F6" i="4"/>
  <c r="D58" i="3" a="1"/>
  <c r="D58" i="3" s="1"/>
  <c r="C7" i="4"/>
  <c r="K61" i="3" a="1"/>
  <c r="K61" i="3" s="1"/>
  <c r="J10" i="4"/>
  <c r="H59" i="3" a="1"/>
  <c r="H59" i="3" s="1"/>
  <c r="G8" i="4"/>
  <c r="I59" i="3" a="1"/>
  <c r="I59" i="3" s="1"/>
  <c r="H8" i="4"/>
  <c r="E60" i="3" a="1"/>
  <c r="E60" i="3" s="1"/>
  <c r="D9" i="4"/>
  <c r="F61" i="3" a="1"/>
  <c r="F61" i="3" s="1"/>
  <c r="D60" i="3" a="1"/>
  <c r="D60" i="3" s="1"/>
  <c r="I62" i="3" a="1"/>
  <c r="I62" i="3" s="1"/>
  <c r="G62" i="3" a="1"/>
  <c r="G62" i="3" s="1"/>
  <c r="H62" i="3" a="1"/>
  <c r="H62" i="3" s="1"/>
  <c r="E59" i="3" a="1"/>
  <c r="E59" i="3" s="1"/>
  <c r="G63" i="3" a="1"/>
  <c r="G63" i="3" s="1"/>
  <c r="K58" i="3" a="1"/>
  <c r="K58" i="3" s="1"/>
  <c r="K62" i="3" a="1"/>
  <c r="K62" i="3" s="1"/>
  <c r="K63" i="3" a="1"/>
  <c r="K63" i="3" s="1"/>
  <c r="F63" i="3" a="1"/>
  <c r="F63" i="3" s="1"/>
  <c r="J62" i="3" a="1"/>
  <c r="J62" i="3" s="1"/>
  <c r="H63" i="3" a="1"/>
  <c r="H63" i="3" s="1"/>
  <c r="J58" i="3" a="1"/>
  <c r="J58" i="3" s="1"/>
  <c r="I63" i="3" a="1"/>
  <c r="I63" i="3" s="1"/>
  <c r="J63" i="3" a="1"/>
  <c r="J63" i="3" s="1"/>
  <c r="E63" i="3" a="1"/>
  <c r="E63" i="3" s="1"/>
  <c r="M49" i="3"/>
  <c r="L49" i="3"/>
  <c r="L45" i="3"/>
  <c r="M45" i="3"/>
  <c r="L48" i="3"/>
  <c r="M48" i="3"/>
  <c r="M47" i="3"/>
  <c r="L47" i="3"/>
  <c r="L51" i="3"/>
  <c r="M51" i="3"/>
  <c r="L50" i="3"/>
  <c r="M50" i="3"/>
  <c r="L46" i="3"/>
  <c r="M46" i="3"/>
  <c r="E21" i="3" a="1"/>
  <c r="E21" i="3" s="1"/>
  <c r="E33" i="3"/>
  <c r="G32" i="3"/>
  <c r="G20" i="3" a="1"/>
  <c r="G20" i="3" s="1"/>
  <c r="L9" i="3" a="1"/>
  <c r="L9" i="3" s="1"/>
  <c r="D21" i="3" a="1"/>
  <c r="D21" i="3" s="1"/>
  <c r="M9" i="3" a="1"/>
  <c r="M9" i="3" s="1"/>
  <c r="D33" i="3"/>
  <c r="K36" i="3"/>
  <c r="K24" i="3" a="1"/>
  <c r="K24" i="3" s="1"/>
  <c r="H31" i="3"/>
  <c r="H19" i="3" a="1"/>
  <c r="H19" i="3" s="1"/>
  <c r="H34" i="3"/>
  <c r="H22" i="3" a="1"/>
  <c r="H22" i="3" s="1"/>
  <c r="L11" i="3" a="1"/>
  <c r="L11" i="3" s="1"/>
  <c r="M11" i="3" a="1"/>
  <c r="M11" i="3" s="1"/>
  <c r="D23" i="3" a="1"/>
  <c r="D23" i="3" s="1"/>
  <c r="D35" i="3"/>
  <c r="G31" i="3"/>
  <c r="G19" i="3" a="1"/>
  <c r="G19" i="3" s="1"/>
  <c r="I34" i="3"/>
  <c r="I22" i="3" a="1"/>
  <c r="I22" i="3" s="1"/>
  <c r="E23" i="3" a="1"/>
  <c r="E23" i="3" s="1"/>
  <c r="E35" i="3"/>
  <c r="J19" i="3" a="1"/>
  <c r="J19" i="3" s="1"/>
  <c r="J31" i="3"/>
  <c r="J34" i="3"/>
  <c r="J22" i="3" a="1"/>
  <c r="J22" i="3" s="1"/>
  <c r="F35" i="3"/>
  <c r="F23" i="3" a="1"/>
  <c r="F23" i="3" s="1"/>
  <c r="E37" i="3"/>
  <c r="E25" i="3" a="1"/>
  <c r="E25" i="3" s="1"/>
  <c r="M7" i="3" a="1"/>
  <c r="M7" i="3" s="1"/>
  <c r="E19" i="3" a="1"/>
  <c r="E19" i="3" s="1"/>
  <c r="E31" i="3"/>
  <c r="K22" i="3" a="1"/>
  <c r="K22" i="3" s="1"/>
  <c r="K34" i="3"/>
  <c r="G35" i="3"/>
  <c r="G23" i="3" a="1"/>
  <c r="G23" i="3" s="1"/>
  <c r="F25" i="3" a="1"/>
  <c r="F25" i="3" s="1"/>
  <c r="F37" i="3"/>
  <c r="H35" i="3"/>
  <c r="H23" i="3" a="1"/>
  <c r="H23" i="3" s="1"/>
  <c r="D25" i="3" a="1"/>
  <c r="D25" i="3" s="1"/>
  <c r="L13" i="3" a="1"/>
  <c r="L13" i="3" s="1"/>
  <c r="M13" i="3" a="1"/>
  <c r="M13" i="3" s="1"/>
  <c r="D37" i="3"/>
  <c r="F32" i="3"/>
  <c r="F20" i="3" a="1"/>
  <c r="F20" i="3" s="1"/>
  <c r="E22" i="3" a="1"/>
  <c r="E22" i="3" s="1"/>
  <c r="E34" i="3"/>
  <c r="I35" i="3"/>
  <c r="I23" i="3" a="1"/>
  <c r="I23" i="3" s="1"/>
  <c r="G37" i="3"/>
  <c r="G25" i="3" a="1"/>
  <c r="G25" i="3" s="1"/>
  <c r="K38" i="3"/>
  <c r="K26" i="3" a="1"/>
  <c r="K26" i="3" s="1"/>
  <c r="L10" i="3" a="1"/>
  <c r="L10" i="3" s="1"/>
  <c r="D22" i="3" a="1"/>
  <c r="D22" i="3" s="1"/>
  <c r="M10" i="3" a="1"/>
  <c r="M10" i="3" s="1"/>
  <c r="D34" i="3"/>
  <c r="F22" i="3" a="1"/>
  <c r="F22" i="3" s="1"/>
  <c r="F34" i="3"/>
  <c r="J35" i="3"/>
  <c r="J23" i="3" a="1"/>
  <c r="J23" i="3" s="1"/>
  <c r="H25" i="3" a="1"/>
  <c r="H25" i="3" s="1"/>
  <c r="H37" i="3"/>
  <c r="F26" i="3" a="1"/>
  <c r="F26" i="3" s="1"/>
  <c r="F38" i="3"/>
  <c r="E38" i="3"/>
  <c r="E26" i="3" a="1"/>
  <c r="E26" i="3" s="1"/>
  <c r="F19" i="3" a="1"/>
  <c r="F19" i="3" s="1"/>
  <c r="F31" i="3"/>
  <c r="G34" i="3"/>
  <c r="G22" i="3" a="1"/>
  <c r="G22" i="3" s="1"/>
  <c r="K35" i="3"/>
  <c r="K23" i="3" a="1"/>
  <c r="K23" i="3" s="1"/>
  <c r="I37" i="3"/>
  <c r="I25" i="3" a="1"/>
  <c r="I25" i="3" s="1"/>
  <c r="G26" i="3" a="1"/>
  <c r="G26" i="3" s="1"/>
  <c r="G38" i="3"/>
  <c r="H32" i="3"/>
  <c r="H20" i="3" a="1"/>
  <c r="H20" i="3" s="1"/>
  <c r="K21" i="3" a="1"/>
  <c r="K21" i="3" s="1"/>
  <c r="K33" i="3"/>
  <c r="E36" i="3"/>
  <c r="E24" i="3" a="1"/>
  <c r="E24" i="3" s="1"/>
  <c r="J25" i="3" a="1"/>
  <c r="J25" i="3" s="1"/>
  <c r="J37" i="3"/>
  <c r="H26" i="3" a="1"/>
  <c r="H26" i="3" s="1"/>
  <c r="H38" i="3"/>
  <c r="L12" i="3" a="1"/>
  <c r="L12" i="3" s="1"/>
  <c r="D24" i="3" a="1"/>
  <c r="D24" i="3" s="1"/>
  <c r="M12" i="3" a="1"/>
  <c r="M12" i="3" s="1"/>
  <c r="D36" i="3"/>
  <c r="J21" i="3" a="1"/>
  <c r="J21" i="3" s="1"/>
  <c r="J33" i="3"/>
  <c r="F36" i="3"/>
  <c r="F24" i="3" a="1"/>
  <c r="F24" i="3" s="1"/>
  <c r="K25" i="3" a="1"/>
  <c r="K25" i="3" s="1"/>
  <c r="K37" i="3"/>
  <c r="I38" i="3"/>
  <c r="I26" i="3" a="1"/>
  <c r="I26" i="3" s="1"/>
  <c r="J20" i="3" a="1"/>
  <c r="J20" i="3" s="1"/>
  <c r="J32" i="3"/>
  <c r="I33" i="3"/>
  <c r="I21" i="3" a="1"/>
  <c r="I21" i="3" s="1"/>
  <c r="G36" i="3"/>
  <c r="G24" i="3" a="1"/>
  <c r="G24" i="3" s="1"/>
  <c r="D31" i="3"/>
  <c r="D19" i="3" a="1"/>
  <c r="D19" i="3" s="1"/>
  <c r="L7" i="3" a="1"/>
  <c r="L7" i="3" s="1"/>
  <c r="J26" i="3" a="1"/>
  <c r="J26" i="3" s="1"/>
  <c r="J38" i="3"/>
  <c r="M14" i="3" a="1"/>
  <c r="M14" i="3" s="1"/>
  <c r="I32" i="3"/>
  <c r="I20" i="3" a="1"/>
  <c r="I20" i="3" s="1"/>
  <c r="K20" i="3" a="1"/>
  <c r="K20" i="3" s="1"/>
  <c r="K32" i="3"/>
  <c r="H33" i="3"/>
  <c r="H21" i="3" a="1"/>
  <c r="H21" i="3" s="1"/>
  <c r="H24" i="3" a="1"/>
  <c r="H24" i="3" s="1"/>
  <c r="H36" i="3"/>
  <c r="I31" i="3"/>
  <c r="I19" i="3" a="1"/>
  <c r="I19" i="3" s="1"/>
  <c r="L8" i="3" a="1"/>
  <c r="L8" i="3" s="1"/>
  <c r="D20" i="3" a="1"/>
  <c r="D20" i="3" s="1"/>
  <c r="M8" i="3" a="1"/>
  <c r="M8" i="3" s="1"/>
  <c r="D32" i="3"/>
  <c r="G21" i="3" a="1"/>
  <c r="G21" i="3" s="1"/>
  <c r="G33" i="3"/>
  <c r="I36" i="3"/>
  <c r="I24" i="3" a="1"/>
  <c r="I24" i="3" s="1"/>
  <c r="D26" i="3" a="1"/>
  <c r="D26" i="3" s="1"/>
  <c r="K31" i="3"/>
  <c r="K19" i="3" a="1"/>
  <c r="K19" i="3" s="1"/>
  <c r="E20" i="3" a="1"/>
  <c r="E20" i="3" s="1"/>
  <c r="E32" i="3"/>
  <c r="F21" i="3" a="1"/>
  <c r="F21" i="3" s="1"/>
  <c r="F33" i="3"/>
  <c r="J24" i="3" a="1"/>
  <c r="J24" i="3" s="1"/>
  <c r="J36" i="3"/>
  <c r="D38" i="3"/>
  <c r="ED9" i="2" a="1"/>
  <c r="ED9" i="2" s="1"/>
  <c r="ED10" i="2" a="1"/>
  <c r="ED10" i="2" s="1"/>
  <c r="ED14" i="2" a="1"/>
  <c r="ED14" i="2" s="1"/>
  <c r="DM9" i="2" a="1"/>
  <c r="DM9" i="2" s="1"/>
  <c r="AF15" i="2" a="1"/>
  <c r="AF15" i="2" s="1"/>
  <c r="CV11" i="2" a="1"/>
  <c r="CV11" i="2" s="1"/>
  <c r="CV8" i="2" a="1"/>
  <c r="CV8" i="2" s="1"/>
  <c r="O8" i="2" a="1"/>
  <c r="O8" i="2" s="1"/>
  <c r="DM8" i="2" a="1"/>
  <c r="DM8" i="2" s="1"/>
  <c r="DM10" i="2" a="1"/>
  <c r="DM10" i="2" s="1"/>
  <c r="CV12" i="2" a="1"/>
  <c r="CV12" i="2" s="1"/>
  <c r="CV13" i="2" a="1"/>
  <c r="CV13" i="2" s="1"/>
  <c r="DM11" i="2" a="1"/>
  <c r="DM11" i="2" s="1"/>
  <c r="CV10" i="2" a="1"/>
  <c r="CV10" i="2" s="1"/>
  <c r="CV9" i="2" a="1"/>
  <c r="CV9" i="2" s="1"/>
  <c r="DM12" i="2" a="1"/>
  <c r="DM12" i="2" s="1"/>
  <c r="CV14" i="2" a="1"/>
  <c r="CV14" i="2" s="1"/>
  <c r="DM13" i="2" a="1"/>
  <c r="DM13" i="2" s="1"/>
  <c r="DM14" i="2" a="1"/>
  <c r="DM14" i="2" s="1"/>
  <c r="AF13" i="2" a="1"/>
  <c r="AF13" i="2" s="1"/>
  <c r="AW9" i="2" a="1"/>
  <c r="AW9" i="2" s="1"/>
  <c r="BN12" i="2" a="1"/>
  <c r="BN12" i="2" s="1"/>
  <c r="BN9" i="2" a="1"/>
  <c r="BN9" i="2" s="1"/>
  <c r="AW15" i="2" a="1"/>
  <c r="AW15" i="2" s="1"/>
  <c r="AF10" i="2" a="1"/>
  <c r="AF10" i="2" s="1"/>
  <c r="AW14" i="2" a="1"/>
  <c r="AW14" i="2" s="1"/>
  <c r="BN10" i="2" a="1"/>
  <c r="BN10" i="2" s="1"/>
  <c r="AW13" i="2" a="1"/>
  <c r="AW13" i="2" s="1"/>
  <c r="AF14" i="2" a="1"/>
  <c r="AF14" i="2" s="1"/>
  <c r="AW12" i="2" a="1"/>
  <c r="AW12" i="2" s="1"/>
  <c r="AF11" i="2" a="1"/>
  <c r="AF11" i="2" s="1"/>
  <c r="BN11" i="2" a="1"/>
  <c r="BN11" i="2" s="1"/>
  <c r="AW11" i="2" a="1"/>
  <c r="AW11" i="2" s="1"/>
  <c r="AW10" i="2" a="1"/>
  <c r="AW10" i="2" s="1"/>
  <c r="BN13" i="2" a="1"/>
  <c r="BN13" i="2" s="1"/>
  <c r="BN14" i="2" a="1"/>
  <c r="BN14" i="2" s="1"/>
  <c r="AF12" i="2" a="1"/>
  <c r="AF12" i="2" s="1"/>
  <c r="BN15" i="2" a="1"/>
  <c r="BN15" i="2" s="1"/>
  <c r="CE15" i="2" a="1"/>
  <c r="CE15" i="2" s="1"/>
  <c r="CE14" i="2" a="1"/>
  <c r="CE14" i="2" s="1"/>
  <c r="CE9" i="2" a="1"/>
  <c r="CE9" i="2" s="1"/>
  <c r="CE13" i="2" a="1"/>
  <c r="CE13" i="2" s="1"/>
  <c r="CE10" i="2" a="1"/>
  <c r="CE10" i="2" s="1"/>
  <c r="CE12" i="2" a="1"/>
  <c r="CE12" i="2" s="1"/>
  <c r="CE11" i="2" a="1"/>
  <c r="CE11" i="2" s="1"/>
  <c r="CE8" i="2" a="1"/>
  <c r="CE8" i="2" s="1"/>
  <c r="O9" i="2" a="1"/>
  <c r="O9" i="2" s="1"/>
  <c r="O14" i="2" a="1"/>
  <c r="O14" i="2" s="1"/>
  <c r="O12" i="2" a="1"/>
  <c r="O12" i="2" s="1"/>
  <c r="O10" i="2" a="1"/>
  <c r="O10" i="2" s="1"/>
  <c r="O13" i="2" a="1"/>
  <c r="O13" i="2" s="1"/>
  <c r="O11" i="2" a="1"/>
  <c r="O11" i="2" s="1"/>
  <c r="L57" i="3" l="1"/>
  <c r="M57" i="3"/>
  <c r="M60" i="3"/>
  <c r="M58" i="3"/>
  <c r="M61" i="3"/>
  <c r="L61" i="3"/>
  <c r="L60" i="3"/>
  <c r="M62" i="3"/>
  <c r="L63" i="3"/>
  <c r="L58" i="3"/>
  <c r="L62" i="3"/>
  <c r="M63" i="3"/>
  <c r="M38" i="3"/>
  <c r="L38" i="3"/>
  <c r="M20" i="3"/>
  <c r="L20" i="3"/>
  <c r="M19" i="3"/>
  <c r="L19" i="3"/>
  <c r="L36" i="3"/>
  <c r="M36" i="3"/>
  <c r="M37" i="3"/>
  <c r="L37" i="3"/>
  <c r="M24" i="3"/>
  <c r="L24" i="3"/>
  <c r="L34" i="3"/>
  <c r="M34" i="3"/>
  <c r="M25" i="3"/>
  <c r="L25" i="3"/>
  <c r="L22" i="3"/>
  <c r="M22" i="3"/>
  <c r="M33" i="3"/>
  <c r="L33" i="3"/>
  <c r="M26" i="3"/>
  <c r="L26" i="3"/>
  <c r="M31" i="3"/>
  <c r="L31" i="3"/>
  <c r="L21" i="3"/>
  <c r="M21" i="3"/>
  <c r="L32" i="3"/>
  <c r="M32" i="3"/>
  <c r="L35" i="3"/>
  <c r="M35" i="3"/>
  <c r="L23" i="3"/>
  <c r="M23" i="3"/>
  <c r="Q14" i="2" l="1" a="1"/>
  <c r="Q14" i="2" s="1"/>
  <c r="J44" i="3" s="1"/>
  <c r="J56" i="3" s="1" a="1"/>
  <c r="J56" i="3" s="1"/>
  <c r="Q9" i="2" a="1"/>
  <c r="Q9" i="2" s="1"/>
  <c r="E44" i="3" s="1"/>
  <c r="E56" i="3" s="1" a="1"/>
  <c r="E56" i="3" s="1"/>
  <c r="Q15" i="2" a="1"/>
  <c r="Q15" i="2" s="1"/>
  <c r="K44" i="3" s="1"/>
  <c r="K56" i="3" s="1" a="1"/>
  <c r="K56" i="3" s="1"/>
  <c r="Q11" i="2" a="1"/>
  <c r="Q11" i="2" s="1"/>
  <c r="G44" i="3" s="1"/>
  <c r="G56" i="3" s="1" a="1"/>
  <c r="G56" i="3" s="1"/>
  <c r="Q13" i="2" a="1"/>
  <c r="Q13" i="2" s="1"/>
  <c r="I44" i="3" s="1"/>
  <c r="I56" i="3" s="1" a="1"/>
  <c r="I56" i="3" s="1"/>
  <c r="Q12" i="2" a="1"/>
  <c r="Q12" i="2" s="1"/>
  <c r="H44" i="3" s="1"/>
  <c r="H56" i="3" s="1" a="1"/>
  <c r="H56" i="3" s="1"/>
  <c r="Q10" i="2" a="1"/>
  <c r="Q10" i="2" s="1"/>
  <c r="F44" i="3" s="1"/>
  <c r="F56" i="3" s="1" a="1"/>
  <c r="F56" i="3" s="1"/>
  <c r="Q8" i="2" a="1"/>
  <c r="Q8" i="2" s="1"/>
  <c r="D44" i="3" s="1"/>
  <c r="D56" i="3" s="1" a="1"/>
  <c r="D56" i="3" s="1"/>
  <c r="M44" i="3" l="1"/>
  <c r="L44" i="3"/>
  <c r="L59" i="3" l="1"/>
  <c r="M59" i="3"/>
  <c r="L56" i="3"/>
  <c r="M5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<sst xmlns="http://schemas.openxmlformats.org/spreadsheetml/2006/main" count="497" uniqueCount="204">
  <si>
    <t>Date</t>
  </si>
  <si>
    <t>Desktop</t>
  </si>
  <si>
    <t>Assigned #</t>
  </si>
  <si>
    <t>IRL</t>
  </si>
  <si>
    <t>Avg Viewers</t>
  </si>
  <si>
    <t>Max Viewers</t>
  </si>
  <si>
    <t>Followers Gained</t>
  </si>
  <si>
    <t>Hrs Streamed</t>
  </si>
  <si>
    <t>Concept</t>
  </si>
  <si>
    <t>Collab</t>
  </si>
  <si>
    <t xml:space="preserve">Stream </t>
  </si>
  <si>
    <t>Matcha Monday w Jake</t>
  </si>
  <si>
    <t>ATL w Clovaaaaa</t>
  </si>
  <si>
    <t>Barky</t>
  </si>
  <si>
    <t>Buying temu motorcycle</t>
  </si>
  <si>
    <t>Sisathon + Barky</t>
  </si>
  <si>
    <t>Sisathon party</t>
  </si>
  <si>
    <t>ATL w AMP</t>
  </si>
  <si>
    <t>OSCS paintball</t>
  </si>
  <si>
    <t>Baking &amp; painting w Maru</t>
  </si>
  <si>
    <t>Rizz</t>
  </si>
  <si>
    <t>Streamer awards nominations</t>
  </si>
  <si>
    <t>Desktop + MRE mukbang</t>
  </si>
  <si>
    <t>Desktop + Gaming</t>
  </si>
  <si>
    <t>Triple Threat gaming</t>
  </si>
  <si>
    <t>Science experiments</t>
  </si>
  <si>
    <t>Lost in LV</t>
  </si>
  <si>
    <t>China mukbang</t>
  </si>
  <si>
    <t>Extreme escape room</t>
  </si>
  <si>
    <t>OSCS Thanksgiving</t>
  </si>
  <si>
    <t>Pilates + Thanksgiving FaZe cooking</t>
  </si>
  <si>
    <t>USC Tailgate</t>
  </si>
  <si>
    <t>Arkmas gaming</t>
  </si>
  <si>
    <t>Lost in OC</t>
  </si>
  <si>
    <t>Streamer awards shopping</t>
  </si>
  <si>
    <t>Streamer awards</t>
  </si>
  <si>
    <t>Streamer awards aftermath</t>
  </si>
  <si>
    <t>Start time (PST)</t>
  </si>
  <si>
    <t>ZAMFAM Christmas</t>
  </si>
  <si>
    <t>OSCS Lake Tahoe</t>
  </si>
  <si>
    <t>OSCS Lake Tahoe roadtrip</t>
  </si>
  <si>
    <t>OSCS Lake Tahoe snowboarding</t>
  </si>
  <si>
    <t>6 flags + bunii concert</t>
  </si>
  <si>
    <t>Finding MICA</t>
  </si>
  <si>
    <t>Doug Doug + Desktop</t>
  </si>
  <si>
    <t>Doug Doug, 6 flags</t>
  </si>
  <si>
    <t>Painting w Ethero sob</t>
  </si>
  <si>
    <t>Dr Tara + desktop</t>
  </si>
  <si>
    <t>Laxative escape room + barky</t>
  </si>
  <si>
    <t>Quqco austin</t>
  </si>
  <si>
    <t>QT Concert</t>
  </si>
  <si>
    <t>Events</t>
  </si>
  <si>
    <t>ExtraEmily impractical jokers</t>
  </si>
  <si>
    <t>Bonnie guess &amp; donates</t>
  </si>
  <si>
    <t>Desktop debrief</t>
  </si>
  <si>
    <t>Snowboarding w Blau</t>
  </si>
  <si>
    <t>Desktop + bench</t>
  </si>
  <si>
    <t>OSCS new years</t>
  </si>
  <si>
    <t>Debriefs</t>
  </si>
  <si>
    <t>Shopping for Emi bday</t>
  </si>
  <si>
    <t>Doug Doug OC fair</t>
  </si>
  <si>
    <t>Doug Doug world record</t>
  </si>
  <si>
    <t>Mr beast show</t>
  </si>
  <si>
    <t>"Climbing mt baldy"</t>
  </si>
  <si>
    <t>OSCS game night</t>
  </si>
  <si>
    <t>ARK</t>
  </si>
  <si>
    <t>OSCS soap box</t>
  </si>
  <si>
    <t>SIMS w yusuf</t>
  </si>
  <si>
    <t>Travels</t>
  </si>
  <si>
    <t>American ninja warrior w yonna</t>
  </si>
  <si>
    <t>Signing w Byrant Barnes + boxing</t>
  </si>
  <si>
    <t>Running a mile vs Santi</t>
  </si>
  <si>
    <t>Truth or nasty w Hasan</t>
  </si>
  <si>
    <t>Last to fall asleep</t>
  </si>
  <si>
    <t>OSCS Day w Silky</t>
  </si>
  <si>
    <t>OSCS v suburb talks</t>
  </si>
  <si>
    <t>Motorcyle test + morebarky</t>
  </si>
  <si>
    <t>Mukbang w Maru + Bigmon origin</t>
  </si>
  <si>
    <t>Facebook mukbang w Sakura</t>
  </si>
  <si>
    <t>Dumpster diving w Paige</t>
  </si>
  <si>
    <t>NMS boxing pregame w ZUGOI</t>
  </si>
  <si>
    <t>NMS boxing aftermath</t>
  </si>
  <si>
    <t>OSCS day w Ray</t>
  </si>
  <si>
    <t>Island survival w Bonnie</t>
  </si>
  <si>
    <t>Thailand day 1 w kiko</t>
  </si>
  <si>
    <t xml:space="preserve">Thailand day 2 </t>
  </si>
  <si>
    <t>Thailand day 3</t>
  </si>
  <si>
    <t>Thailand day 4</t>
  </si>
  <si>
    <t>Debrief of thailand + "OSCS" day</t>
  </si>
  <si>
    <t>Ludwig basketball tourney</t>
  </si>
  <si>
    <t>Valentines day w Bonnie</t>
  </si>
  <si>
    <t>Jynxzi RL tourney</t>
  </si>
  <si>
    <t xml:space="preserve">Debrief + sunny </t>
  </si>
  <si>
    <t>Yugi's event</t>
  </si>
  <si>
    <t>Gross ones w yusuf</t>
  </si>
  <si>
    <t>Pop the balloon for Guapo</t>
  </si>
  <si>
    <t>Mr beast streamer vid (shhhh)</t>
  </si>
  <si>
    <t xml:space="preserve">India, lost in </t>
  </si>
  <si>
    <t>India, holi festival</t>
  </si>
  <si>
    <t>India, doug doug</t>
  </si>
  <si>
    <t>Debrief of India</t>
  </si>
  <si>
    <t>Jynxzi R6 tourney + barky + games</t>
  </si>
  <si>
    <t>Muay thai w Syanne + Ron + sunny hinge</t>
  </si>
  <si>
    <t>Sex edu w Tara + soccer</t>
  </si>
  <si>
    <t>Doug Doug knotts berry farm</t>
  </si>
  <si>
    <t>Lost in LA w Bonnie</t>
  </si>
  <si>
    <t>OSCS day w Ron + joe bro v bro</t>
  </si>
  <si>
    <t>Jynxzi cs tourney</t>
  </si>
  <si>
    <t>YDF day 1</t>
  </si>
  <si>
    <t>OSCS day w Yonna &amp; Ray + Sunny 20v1</t>
  </si>
  <si>
    <t>YDF day 2 + futbol prac</t>
  </si>
  <si>
    <t>Time Slot</t>
  </si>
  <si>
    <t>Time Slot (PST) Start</t>
  </si>
  <si>
    <t>Time Slot (PST) End</t>
  </si>
  <si>
    <t>KeYS</t>
  </si>
  <si>
    <t>GG est mfs</t>
  </si>
  <si>
    <t>Early asf</t>
  </si>
  <si>
    <t>Great times</t>
  </si>
  <si>
    <t>Prime hours</t>
  </si>
  <si>
    <t>Late-night</t>
  </si>
  <si>
    <t>Lol</t>
  </si>
  <si>
    <t>Good times</t>
  </si>
  <si>
    <t>Total Streams</t>
  </si>
  <si>
    <t>Total Followers Gained</t>
  </si>
  <si>
    <t>Avg Max Viewers</t>
  </si>
  <si>
    <t>Total Hours Streamed</t>
  </si>
  <si>
    <t>GG EST Mfs</t>
  </si>
  <si>
    <t>YDF last dance</t>
  </si>
  <si>
    <t>OSCS soccer tourney</t>
  </si>
  <si>
    <t>% WT</t>
  </si>
  <si>
    <t>STREAM INPUTS</t>
  </si>
  <si>
    <t>TIME SLOTS</t>
  </si>
  <si>
    <t>CONCEPTS</t>
  </si>
  <si>
    <t>Avg FG / stream</t>
  </si>
  <si>
    <t>QT &amp; ada canceled, so we got some bs</t>
  </si>
  <si>
    <t>WE IN MIAMI, TURNING UP…</t>
  </si>
  <si>
    <t>μ</t>
  </si>
  <si>
    <t>𝜎</t>
  </si>
  <si>
    <t>OSCS Cruise</t>
  </si>
  <si>
    <t>OSCS bs</t>
  </si>
  <si>
    <t>Column1</t>
  </si>
  <si>
    <t>Mean Results</t>
  </si>
  <si>
    <t>Fanum $50K RL tourney</t>
  </si>
  <si>
    <t>OSCS House reveal</t>
  </si>
  <si>
    <t>.</t>
  </si>
  <si>
    <t>Note: these results are meant to represent the quality of streams tied to a Time-Slot and the Concept, incorporating the μ viewership, μ followers gained per</t>
  </si>
  <si>
    <t>stream, and the μ max viewership in the streams.</t>
  </si>
  <si>
    <t xml:space="preserve">Time-Slot-based WTs on Categories by Avg Viewership </t>
  </si>
  <si>
    <t>Lost in Austin w Zoil</t>
  </si>
  <si>
    <t>OSCS balesh day</t>
  </si>
  <si>
    <t>Bro v Sis w Bonnie</t>
  </si>
  <si>
    <t>Knutt's Easter, balesh, and forest</t>
  </si>
  <si>
    <t>Jan. 2026</t>
  </si>
  <si>
    <t>Dec. 2025</t>
  </si>
  <si>
    <t>Feb. 2026</t>
  </si>
  <si>
    <t>Mar. 2026</t>
  </si>
  <si>
    <t>Apr. 2026</t>
  </si>
  <si>
    <t>May. 2026</t>
  </si>
  <si>
    <t>Jun. 2026</t>
  </si>
  <si>
    <t>Jul. 2026</t>
  </si>
  <si>
    <t>Aug. 2026</t>
  </si>
  <si>
    <t>Sep. 2026</t>
  </si>
  <si>
    <t>Oct. 2026</t>
  </si>
  <si>
    <t>Nov. 2026</t>
  </si>
  <si>
    <t>Dec. 2026</t>
  </si>
  <si>
    <t>FG</t>
  </si>
  <si>
    <t>FG/Hr</t>
  </si>
  <si>
    <t>M/M△, AV</t>
  </si>
  <si>
    <r>
      <rPr>
        <b/>
        <sz val="14"/>
        <color rgb="FFFF0000"/>
        <rFont val="Arial"/>
        <family val="2"/>
      </rPr>
      <t xml:space="preserve">Time-Slot-based </t>
    </r>
    <r>
      <rPr>
        <b/>
        <sz val="14"/>
        <color theme="1"/>
        <rFont val="Arial"/>
        <family val="2"/>
      </rPr>
      <t xml:space="preserve">WTs on Categories </t>
    </r>
  </si>
  <si>
    <r>
      <t xml:space="preserve">Avg Followers Gained per Stream, </t>
    </r>
    <r>
      <rPr>
        <b/>
        <sz val="14"/>
        <color rgb="FFFF0000"/>
        <rFont val="Arial"/>
        <family val="2"/>
      </rPr>
      <t>Time-Slot-Based</t>
    </r>
  </si>
  <si>
    <t>Doug Doug 1v1 w Katchi + balesh</t>
  </si>
  <si>
    <t>Max's diss wars + balesh</t>
  </si>
  <si>
    <t>OSCS podcast w wakewilder</t>
  </si>
  <si>
    <t>2v2 w Yamfam v Lemon &amp; Zugoi</t>
  </si>
  <si>
    <t>OSCS day w ExtraEmily</t>
  </si>
  <si>
    <t>OSCS Austin house party</t>
  </si>
  <si>
    <t>Games and reacts w Yonna</t>
  </si>
  <si>
    <t>YDF first dance sob</t>
  </si>
  <si>
    <r>
      <t xml:space="preserve">Some Balesh like OPS for </t>
    </r>
    <r>
      <rPr>
        <b/>
        <sz val="14"/>
        <color rgb="FFFF0000"/>
        <rFont val="Arial"/>
        <family val="2"/>
      </rPr>
      <t>Concept(s)</t>
    </r>
  </si>
  <si>
    <r>
      <rPr>
        <b/>
        <sz val="14"/>
        <color rgb="FFFF0000"/>
        <rFont val="Arial"/>
        <family val="2"/>
      </rPr>
      <t>Category-based</t>
    </r>
    <r>
      <rPr>
        <b/>
        <sz val="14"/>
        <color theme="1"/>
        <rFont val="Arial"/>
        <family val="2"/>
      </rPr>
      <t xml:space="preserve"> Time Slot Differences from Best Performing Mix</t>
    </r>
  </si>
  <si>
    <t>Mean Results, Concurrent Viewership</t>
  </si>
  <si>
    <t>OSCS balesh</t>
  </si>
  <si>
    <t xml:space="preserve">Desktop + Gaming Data </t>
  </si>
  <si>
    <t>Collabs</t>
  </si>
  <si>
    <t xml:space="preserve">BARKY </t>
  </si>
  <si>
    <t xml:space="preserve">OSCS balesh </t>
  </si>
  <si>
    <t xml:space="preserve">Rizz </t>
  </si>
  <si>
    <t xml:space="preserve">Travels </t>
  </si>
  <si>
    <t>Months</t>
  </si>
  <si>
    <t>Results</t>
  </si>
  <si>
    <t xml:space="preserve">FG = followers gained </t>
  </si>
  <si>
    <t>FG/Hr = followers gained for every hour streamed</t>
  </si>
  <si>
    <t>M/M△, AV = month-over-month change in avg. viewership</t>
  </si>
  <si>
    <t>ARK Day + Sidemen charity match</t>
  </si>
  <si>
    <t>Desktop + Sunday league soccer</t>
  </si>
  <si>
    <t>Impractical jokers w yusuf, 24, &amp; guapo</t>
  </si>
  <si>
    <t>IRL LA Bingo w yusuf &amp; max</t>
  </si>
  <si>
    <t>100k geo guess + party for suburbs talk</t>
  </si>
  <si>
    <t>R6 tourney + arksmp (blind date sob)</t>
  </si>
  <si>
    <t>desktop + sneaking into girls night</t>
  </si>
  <si>
    <t>VR PARTY</t>
  </si>
  <si>
    <t>Arky + Yonna balesh</t>
  </si>
  <si>
    <t>Lost in Toronto</t>
  </si>
  <si>
    <t>Toronto debrief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</si>
</sst>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[$-409]h:mm\ AM/PM;@"/>
    <numFmt numFmtId="167" formatCode="0.0%"/>
    <numFmt numFmtId="168" formatCode="_(* #,##0.000_);_(* \(#,##0.000\);_(* &quot;-&quot;??_);_(@_)"/>
    <numFmt numFmtId="169" formatCode="_(&quot;$&quot;* #,##0_);_(&quot;$&quot;* \(#,##0\);_(&quot;$&quot;* &quot;-&quot;??_);_(@_)"/>
    <numFmt numFmtId="170" formatCode="_(* #,##0.00000_);_(* \(#,##0.00000\);_(* &quot;-&quot;??_);_(@_)"/>
    <numFmt numFmtId="171" formatCode="_(&quot;$&quot;* #,##0.0000_);_(&quot;$&quot;* \(#,##0.0000\);_(&quot;$&quot;* &quot;-&quot;??_);_(@_)"/>
  </numFmts>
  <fonts count="1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5"/>
      <color theme="1"/>
      <name val="Arial"/>
      <family val="2"/>
    </font>
    <font>
      <sz val="10"/>
      <color theme="0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4"/>
      <name val="Arial"/>
      <family val="2"/>
    </font>
    <font>
      <i/>
      <sz val="10"/>
      <color theme="1"/>
      <name val="Arial"/>
      <family val="2"/>
    </font>
    <font>
      <b/>
      <sz val="16"/>
      <color theme="1"/>
      <name val="Arial"/>
      <family val="2"/>
    </font>
    <font>
      <sz val="8"/>
      <name val="Arial"/>
      <family val="2"/>
    </font>
    <font>
      <b/>
      <sz val="14"/>
      <color rgb="FFFF0000"/>
      <name val="Arial"/>
      <family val="2"/>
    </font>
    <font>
      <b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18" fontId="0" fillId="0" borderId="0" xfId="0" applyNumberFormat="1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1" applyNumberFormat="1" applyFont="1" applyFill="1" applyBorder="1"/>
    <xf numFmtId="164" fontId="0" fillId="0" borderId="0" xfId="1" applyNumberFormat="1" applyFont="1" applyFill="1" applyBorder="1"/>
    <xf numFmtId="165" fontId="0" fillId="0" borderId="0" xfId="1" applyNumberFormat="1" applyFont="1" applyFill="1" applyBorder="1" applyAlignment="1">
      <alignment horizontal="center"/>
    </xf>
    <xf numFmtId="165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/>
    <xf numFmtId="14" fontId="0" fillId="0" borderId="2" xfId="0" applyNumberFormat="1" applyBorder="1"/>
    <xf numFmtId="165" fontId="4" fillId="0" borderId="0" xfId="0" applyNumberFormat="1" applyFont="1"/>
    <xf numFmtId="0" fontId="2" fillId="0" borderId="0" xfId="0" applyFont="1" applyAlignment="1">
      <alignment horizontal="center"/>
    </xf>
    <xf numFmtId="165" fontId="0" fillId="0" borderId="0" xfId="1" applyNumberFormat="1" applyFont="1" applyBorder="1"/>
    <xf numFmtId="0" fontId="2" fillId="0" borderId="2" xfId="0" applyFont="1" applyBorder="1"/>
    <xf numFmtId="14" fontId="0" fillId="0" borderId="4" xfId="0" applyNumberFormat="1" applyBorder="1"/>
    <xf numFmtId="0" fontId="3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14" fontId="0" fillId="0" borderId="2" xfId="0" applyNumberFormat="1" applyBorder="1" applyAlignment="1">
      <alignment vertical="center"/>
    </xf>
    <xf numFmtId="165" fontId="0" fillId="0" borderId="0" xfId="1" applyNumberFormat="1" applyFont="1" applyAlignment="1">
      <alignment vertical="center"/>
    </xf>
    <xf numFmtId="164" fontId="0" fillId="0" borderId="0" xfId="1" applyNumberFormat="1" applyFont="1" applyAlignment="1">
      <alignment vertical="center"/>
    </xf>
    <xf numFmtId="166" fontId="0" fillId="0" borderId="0" xfId="0" applyNumberFormat="1" applyAlignment="1">
      <alignment vertical="center"/>
    </xf>
    <xf numFmtId="43" fontId="3" fillId="0" borderId="0" xfId="0" applyNumberFormat="1" applyFont="1"/>
    <xf numFmtId="167" fontId="0" fillId="0" borderId="0" xfId="2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3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167" fontId="0" fillId="0" borderId="0" xfId="0" applyNumberFormat="1"/>
    <xf numFmtId="0" fontId="0" fillId="0" borderId="2" xfId="0" applyBorder="1"/>
    <xf numFmtId="0" fontId="2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9" fontId="0" fillId="0" borderId="0" xfId="2" applyFont="1"/>
    <xf numFmtId="0" fontId="8" fillId="0" borderId="1" xfId="0" applyFont="1" applyBorder="1"/>
    <xf numFmtId="165" fontId="8" fillId="2" borderId="0" xfId="0" applyNumberFormat="1" applyFont="1" applyFill="1" applyAlignment="1">
      <alignment horizontal="right"/>
    </xf>
    <xf numFmtId="165" fontId="0" fillId="2" borderId="0" xfId="1" applyNumberFormat="1" applyFont="1" applyFill="1" applyBorder="1"/>
    <xf numFmtId="0" fontId="9" fillId="2" borderId="5" xfId="0" applyFont="1" applyFill="1" applyBorder="1" applyAlignment="1">
      <alignment horizontal="center"/>
    </xf>
    <xf numFmtId="10" fontId="0" fillId="0" borderId="0" xfId="2" applyNumberFormat="1" applyFont="1" applyAlignment="1">
      <alignment horizontal="right"/>
    </xf>
    <xf numFmtId="10" fontId="8" fillId="2" borderId="0" xfId="2" applyNumberFormat="1" applyFont="1" applyFill="1" applyBorder="1" applyAlignment="1">
      <alignment horizontal="right"/>
    </xf>
    <xf numFmtId="10" fontId="0" fillId="2" borderId="0" xfId="2" applyNumberFormat="1" applyFont="1" applyFill="1" applyBorder="1"/>
    <xf numFmtId="10" fontId="0" fillId="0" borderId="0" xfId="0" applyNumberFormat="1"/>
    <xf numFmtId="0" fontId="10" fillId="0" borderId="3" xfId="0" applyFont="1" applyBorder="1"/>
    <xf numFmtId="43" fontId="8" fillId="2" borderId="0" xfId="1" applyFont="1" applyFill="1" applyBorder="1" applyAlignment="1">
      <alignment horizontal="right"/>
    </xf>
    <xf numFmtId="43" fontId="0" fillId="2" borderId="0" xfId="1" applyFont="1" applyFill="1" applyBorder="1"/>
    <xf numFmtId="168" fontId="8" fillId="2" borderId="0" xfId="1" applyNumberFormat="1" applyFont="1" applyFill="1" applyBorder="1" applyAlignment="1">
      <alignment horizontal="right"/>
    </xf>
    <xf numFmtId="168" fontId="0" fillId="2" borderId="0" xfId="1" applyNumberFormat="1" applyFont="1" applyFill="1" applyBorder="1"/>
    <xf numFmtId="168" fontId="0" fillId="0" borderId="0" xfId="0" applyNumberFormat="1"/>
    <xf numFmtId="165" fontId="0" fillId="2" borderId="0" xfId="1" applyNumberFormat="1" applyFont="1" applyFill="1" applyAlignment="1">
      <alignment horizontal="right"/>
    </xf>
    <xf numFmtId="0" fontId="11" fillId="0" borderId="0" xfId="0" applyFont="1"/>
    <xf numFmtId="49" fontId="8" fillId="0" borderId="1" xfId="0" applyNumberFormat="1" applyFont="1" applyBorder="1"/>
    <xf numFmtId="0" fontId="1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/>
    <xf numFmtId="43" fontId="0" fillId="0" borderId="0" xfId="1" applyFont="1"/>
    <xf numFmtId="10" fontId="0" fillId="0" borderId="0" xfId="2" applyNumberFormat="1" applyFont="1"/>
    <xf numFmtId="168" fontId="0" fillId="2" borderId="0" xfId="1" applyNumberFormat="1" applyFont="1" applyFill="1" applyAlignment="1">
      <alignment horizontal="right"/>
    </xf>
    <xf numFmtId="2" fontId="0" fillId="0" borderId="0" xfId="0" applyNumberFormat="1"/>
    <xf numFmtId="44" fontId="0" fillId="0" borderId="0" xfId="0" applyNumberFormat="1"/>
    <xf numFmtId="170" fontId="0" fillId="0" borderId="0" xfId="1" applyNumberFormat="1" applyFont="1"/>
    <xf numFmtId="171" fontId="0" fillId="0" borderId="0" xfId="0" applyNumberFormat="1"/>
    <xf numFmtId="0" fontId="15" fillId="0" borderId="0" xfId="0" applyFont="1" applyAlignment="1">
      <alignment horizontal="right"/>
    </xf>
    <xf numFmtId="44" fontId="15" fillId="0" borderId="0" xfId="0" applyNumberFormat="1" applyFont="1"/>
    <xf numFmtId="169" fontId="0" fillId="0" borderId="0" xfId="3" applyNumberFormat="1" applyFont="1" applyBorder="1"/>
    <xf numFmtId="44" fontId="0" fillId="0" borderId="0" xfId="3" applyFont="1" applyBorder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205">
    <dxf>
      <font>
        <color theme="0"/>
      </font>
      <fill>
        <patternFill>
          <bgColor rgb="FF990000"/>
        </patternFill>
      </fill>
    </dxf>
    <dxf>
      <fill>
        <patternFill>
          <bgColor rgb="FFFFC000"/>
        </patternFill>
      </fill>
    </dxf>
    <dxf>
      <fill>
        <patternFill>
          <bgColor rgb="FFFF33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15959"/>
        </patternFill>
      </fill>
    </dxf>
    <dxf>
      <fill>
        <patternFill>
          <bgColor rgb="FFDA00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99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15959"/>
        </patternFill>
      </fill>
    </dxf>
    <dxf>
      <fill>
        <patternFill>
          <bgColor rgb="FFDA0000"/>
        </patternFill>
      </fill>
    </dxf>
    <dxf>
      <fill>
        <patternFill>
          <bgColor rgb="FFFF33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99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15959"/>
        </patternFill>
      </fill>
    </dxf>
    <dxf>
      <fill>
        <patternFill>
          <bgColor rgb="FFDA0000"/>
        </patternFill>
      </fill>
    </dxf>
    <dxf>
      <fill>
        <patternFill>
          <bgColor rgb="FFFF3300"/>
        </patternFill>
      </fill>
    </dxf>
    <dxf>
      <font>
        <color theme="0"/>
      </font>
      <fill>
        <patternFill>
          <bgColor rgb="FF99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DA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3300"/>
        </patternFill>
      </fill>
    </dxf>
    <dxf>
      <fill>
        <patternFill>
          <bgColor rgb="FFF15959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99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15959"/>
        </patternFill>
      </fill>
    </dxf>
    <dxf>
      <fill>
        <patternFill>
          <bgColor rgb="FFDA0000"/>
        </patternFill>
      </fill>
    </dxf>
    <dxf>
      <fill>
        <patternFill>
          <bgColor rgb="FFFF33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DA0000"/>
        </patternFill>
      </fill>
    </dxf>
    <dxf>
      <fill>
        <patternFill>
          <bgColor rgb="FFF15959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990000"/>
        </patternFill>
      </fill>
    </dxf>
    <dxf>
      <fill>
        <patternFill>
          <bgColor rgb="FFFF33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99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15959"/>
        </patternFill>
      </fill>
    </dxf>
    <dxf>
      <fill>
        <patternFill>
          <bgColor rgb="FFDA0000"/>
        </patternFill>
      </fill>
    </dxf>
    <dxf>
      <fill>
        <patternFill>
          <bgColor rgb="FFFF33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6565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990000"/>
        </patternFill>
      </fill>
    </dxf>
    <dxf>
      <fill>
        <patternFill>
          <bgColor rgb="FFDA0000"/>
        </patternFill>
      </fill>
    </dxf>
    <dxf>
      <fill>
        <patternFill>
          <bgColor rgb="FFFF3300"/>
        </patternFill>
      </fill>
    </dxf>
    <dxf>
      <fill>
        <patternFill>
          <bgColor rgb="FFF15959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b/>
        <i val="0"/>
        <strike val="0"/>
        <u val="none"/>
        <color theme="9" tint="-0.499984740745262"/>
      </font>
      <fill>
        <gradientFill degree="90">
          <stop position="0">
            <color theme="9" tint="0.80001220740379042"/>
          </stop>
          <stop position="1">
            <color theme="9" tint="0.40000610370189521"/>
          </stop>
        </gradientFill>
      </fill>
    </dxf>
    <dxf>
      <fill>
        <patternFill>
          <bgColor rgb="FFFF0000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strike val="0"/>
        <u val="none"/>
        <color theme="9" tint="-0.499984740745262"/>
      </font>
      <fill>
        <gradientFill degree="90">
          <stop position="0">
            <color theme="9" tint="0.80001220740379042"/>
          </stop>
          <stop position="1">
            <color theme="9" tint="0.40000610370189521"/>
          </stop>
        </gradient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strike val="0"/>
        <u val="none"/>
        <color theme="9" tint="-0.499984740745262"/>
      </font>
      <fill>
        <gradientFill degree="90">
          <stop position="0">
            <color theme="9" tint="0.80001220740379042"/>
          </stop>
          <stop position="1">
            <color theme="9" tint="0.40000610370189521"/>
          </stop>
        </gradient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6565"/>
        </patternFill>
      </fill>
    </dxf>
    <dxf>
      <fill>
        <patternFill>
          <bgColor rgb="FFFF0000"/>
        </patternFill>
      </fill>
    </dxf>
    <dxf>
      <font>
        <b/>
        <i val="0"/>
        <strike val="0"/>
        <u val="none"/>
        <color theme="9" tint="-0.499984740745262"/>
      </font>
      <fill>
        <gradientFill degree="90">
          <stop position="0">
            <color theme="9" tint="0.80001220740379042"/>
          </stop>
          <stop position="1">
            <color theme="9" tint="0.40000610370189521"/>
          </stop>
        </gradient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6565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numFmt numFmtId="23" formatCode="h:mm\ AM/PM"/>
    </dxf>
    <dxf>
      <numFmt numFmtId="164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(* #,##0.000_);_(* \(#,##0.00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(* #,##0.000_);_(* \(#,##0.00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(* #,##0.000_);_(* \(#,##0.00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(* #,##0.000_);_(* \(#,##0.00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(* #,##0.000_);_(* \(#,##0.00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(* #,##0.000_);_(* \(#,##0.00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(* #,##0.000_);_(* \(#,##0.00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(* #,##0.000_);_(* \(#,##0.00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colors>
    <mruColors>
      <color rgb="FF990000"/>
      <color rgb="FFFF6565"/>
      <color rgb="FFEAB200"/>
      <color rgb="FFFF3B3B"/>
      <color rgb="FF800000"/>
      <color rgb="FFF15959"/>
      <color rgb="FFDA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Avg</a:t>
            </a:r>
            <a:r>
              <a:rPr lang="en-US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Viewership based by a Concept and Time-Slot</a:t>
            </a:r>
            <a:endParaRPr lang="en-US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Graphs!$C$4</c:f>
              <c:strCache>
                <c:ptCount val="1"/>
                <c:pt idx="0">
                  <c:v> Prime hours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bs </c:v>
                </c:pt>
                <c:pt idx="5">
                  <c:v> Rizz </c:v>
                </c:pt>
                <c:pt idx="6">
                  <c:v> Events </c:v>
                </c:pt>
                <c:pt idx="7">
                  <c:v> Travels </c:v>
                </c:pt>
              </c:strCache>
            </c:strRef>
          </c:cat>
          <c:val>
            <c:numRef>
              <c:f>Graphs!$C$5:$C$12</c:f>
              <c:numCache>
                <c:formatCode>_(* #,##0_);_(* \(#,##0\);_(* "-"??_);_(@_)</c:formatCode>
                <c:ptCount val="8"/>
                <c:pt idx="0">
                  <c:v>6507</c:v>
                </c:pt>
                <c:pt idx="1">
                  <c:v>4648.083333333333</c:v>
                </c:pt>
                <c:pt idx="2">
                  <c:v>4553</c:v>
                </c:pt>
                <c:pt idx="3">
                  <c:v>7091.5</c:v>
                </c:pt>
                <c:pt idx="4">
                  <c:v>4467.75</c:v>
                </c:pt>
                <c:pt idx="5">
                  <c:v>5596</c:v>
                </c:pt>
                <c:pt idx="6">
                  <c:v>5539.166666666667</c:v>
                </c:pt>
                <c:pt idx="7">
                  <c:v>3992.5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1-4A51-907A-1BA0AE84EC1A}"/>
            </c:ext>
          </c:extLst>
        </c:ser>
        <c:ser>
          <c:idx val="1"/>
          <c:order val="1"/>
          <c:tx>
            <c:strRef>
              <c:f>Graphs!$D$4</c:f>
              <c:strCache>
                <c:ptCount val="1"/>
                <c:pt idx="0">
                  <c:v> Great times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bs </c:v>
                </c:pt>
                <c:pt idx="5">
                  <c:v> Rizz </c:v>
                </c:pt>
                <c:pt idx="6">
                  <c:v> Events </c:v>
                </c:pt>
                <c:pt idx="7">
                  <c:v> Travels </c:v>
                </c:pt>
              </c:strCache>
            </c:strRef>
          </c:cat>
          <c:val>
            <c:numRef>
              <c:f>Graphs!$D$5:$D$12</c:f>
              <c:numCache>
                <c:formatCode>_(* #,##0_);_(* \(#,##0\);_(* "-"??_);_(@_)</c:formatCode>
                <c:ptCount val="8"/>
                <c:pt idx="0">
                  <c:v>7483</c:v>
                </c:pt>
                <c:pt idx="1">
                  <c:v>5326.1428571428569</c:v>
                </c:pt>
                <c:pt idx="2">
                  <c:v>4439.5</c:v>
                </c:pt>
                <c:pt idx="3">
                  <c:v>12243</c:v>
                </c:pt>
                <c:pt idx="4">
                  <c:v>4371.1428571428569</c:v>
                </c:pt>
                <c:pt idx="5">
                  <c:v>0</c:v>
                </c:pt>
                <c:pt idx="6">
                  <c:v>5450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1-4A51-907A-1BA0AE84EC1A}"/>
            </c:ext>
          </c:extLst>
        </c:ser>
        <c:ser>
          <c:idx val="2"/>
          <c:order val="2"/>
          <c:tx>
            <c:strRef>
              <c:f>Graphs!$E$4</c:f>
              <c:strCache>
                <c:ptCount val="1"/>
                <c:pt idx="0">
                  <c:v> Good times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bs </c:v>
                </c:pt>
                <c:pt idx="5">
                  <c:v> Rizz </c:v>
                </c:pt>
                <c:pt idx="6">
                  <c:v> Events </c:v>
                </c:pt>
                <c:pt idx="7">
                  <c:v> Travels </c:v>
                </c:pt>
              </c:strCache>
            </c:strRef>
          </c:cat>
          <c:val>
            <c:numRef>
              <c:f>Graphs!$E$5:$E$12</c:f>
              <c:numCache>
                <c:formatCode>_(* #,##0_);_(* \(#,##0\);_(* "-"??_);_(@_)</c:formatCode>
                <c:ptCount val="8"/>
                <c:pt idx="0">
                  <c:v>3978.2857142857142</c:v>
                </c:pt>
                <c:pt idx="1">
                  <c:v>4906.333333333333</c:v>
                </c:pt>
                <c:pt idx="2">
                  <c:v>4402</c:v>
                </c:pt>
                <c:pt idx="3">
                  <c:v>8204.7999999999993</c:v>
                </c:pt>
                <c:pt idx="4">
                  <c:v>5550.636363636364</c:v>
                </c:pt>
                <c:pt idx="5">
                  <c:v>5601</c:v>
                </c:pt>
                <c:pt idx="6">
                  <c:v>5296.4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1-4A51-907A-1BA0AE84EC1A}"/>
            </c:ext>
          </c:extLst>
        </c:ser>
        <c:ser>
          <c:idx val="3"/>
          <c:order val="3"/>
          <c:tx>
            <c:strRef>
              <c:f>Graphs!$F$4</c:f>
              <c:strCache>
                <c:ptCount val="1"/>
                <c:pt idx="0">
                  <c:v> Late-night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bs </c:v>
                </c:pt>
                <c:pt idx="5">
                  <c:v> Rizz </c:v>
                </c:pt>
                <c:pt idx="6">
                  <c:v> Events </c:v>
                </c:pt>
                <c:pt idx="7">
                  <c:v> Travels </c:v>
                </c:pt>
              </c:strCache>
            </c:strRef>
          </c:cat>
          <c:val>
            <c:numRef>
              <c:f>Graphs!$F$5:$F$12</c:f>
              <c:numCache>
                <c:formatCode>_(* #,##0_);_(* \(#,##0\);_(* "-"??_);_(@_)</c:formatCode>
                <c:ptCount val="8"/>
                <c:pt idx="0">
                  <c:v>3496</c:v>
                </c:pt>
                <c:pt idx="1">
                  <c:v>5374</c:v>
                </c:pt>
                <c:pt idx="2">
                  <c:v>6898.333333333333</c:v>
                </c:pt>
                <c:pt idx="3">
                  <c:v>7726</c:v>
                </c:pt>
                <c:pt idx="4">
                  <c:v>6045</c:v>
                </c:pt>
                <c:pt idx="5">
                  <c:v>7742</c:v>
                </c:pt>
                <c:pt idx="6">
                  <c:v>0</c:v>
                </c:pt>
                <c:pt idx="7">
                  <c:v>5245.5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B1-4A51-907A-1BA0AE84EC1A}"/>
            </c:ext>
          </c:extLst>
        </c:ser>
        <c:ser>
          <c:idx val="4"/>
          <c:order val="4"/>
          <c:tx>
            <c:strRef>
              <c:f>Graphs!$G$4</c:f>
              <c:strCache>
                <c:ptCount val="1"/>
                <c:pt idx="0">
                  <c:v> Early asf </c:v>
                </c:pt>
              </c:strCache>
            </c:strRef>
          </c:tx>
          <c:spPr>
            <a:solidFill>
              <a:srgbClr val="EAB200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bs </c:v>
                </c:pt>
                <c:pt idx="5">
                  <c:v> Rizz </c:v>
                </c:pt>
                <c:pt idx="6">
                  <c:v> Events </c:v>
                </c:pt>
                <c:pt idx="7">
                  <c:v> Travels </c:v>
                </c:pt>
              </c:strCache>
            </c:strRef>
          </c:cat>
          <c:val>
            <c:numRef>
              <c:f>Graphs!$G$5:$G$12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10685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B1-4A51-907A-1BA0AE84EC1A}"/>
            </c:ext>
          </c:extLst>
        </c:ser>
        <c:ser>
          <c:idx val="5"/>
          <c:order val="5"/>
          <c:tx>
            <c:strRef>
              <c:f>Graphs!$H$4</c:f>
              <c:strCache>
                <c:ptCount val="1"/>
                <c:pt idx="0">
                  <c:v> GG EST Mfs </c:v>
                </c:pt>
              </c:strCache>
            </c:strRef>
          </c:tx>
          <c:spPr>
            <a:solidFill>
              <a:srgbClr val="FF6565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bs </c:v>
                </c:pt>
                <c:pt idx="5">
                  <c:v> Rizz </c:v>
                </c:pt>
                <c:pt idx="6">
                  <c:v> Events </c:v>
                </c:pt>
                <c:pt idx="7">
                  <c:v> Travels </c:v>
                </c:pt>
              </c:strCache>
            </c:strRef>
          </c:cat>
          <c:val>
            <c:numRef>
              <c:f>Graphs!$H$5:$H$12</c:f>
              <c:numCache>
                <c:formatCode>_(* #,##0_);_(* \(#,##0\);_(* "-"??_);_(@_)</c:formatCode>
                <c:ptCount val="8"/>
                <c:pt idx="0">
                  <c:v>6388.666666666667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5016</c:v>
                </c:pt>
                <c:pt idx="6">
                  <c:v>0</c:v>
                </c:pt>
                <c:pt idx="7">
                  <c:v>5671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B1-4A51-907A-1BA0AE84EC1A}"/>
            </c:ext>
          </c:extLst>
        </c:ser>
        <c:ser>
          <c:idx val="6"/>
          <c:order val="6"/>
          <c:tx>
            <c:strRef>
              <c:f>Graphs!$I$4</c:f>
              <c:strCache>
                <c:ptCount val="1"/>
                <c:pt idx="0">
                  <c:v> Lol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bs </c:v>
                </c:pt>
                <c:pt idx="5">
                  <c:v> Rizz </c:v>
                </c:pt>
                <c:pt idx="6">
                  <c:v> Events </c:v>
                </c:pt>
                <c:pt idx="7">
                  <c:v> Travels </c:v>
                </c:pt>
              </c:strCache>
            </c:strRef>
          </c:cat>
          <c:val>
            <c:numRef>
              <c:f>Graphs!$I$5:$I$12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6538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B1-4A51-907A-1BA0AE84EC1A}"/>
            </c:ext>
          </c:extLst>
        </c:ser>
        <c:ser>
          <c:idx val="7"/>
          <c:order val="7"/>
          <c:tx>
            <c:strRef>
              <c:f>Graphs!$J$4</c:f>
              <c:strCache>
                <c:ptCount val="1"/>
                <c:pt idx="0">
                  <c:v> KeYS </c:v>
                </c:pt>
              </c:strCache>
            </c:strRef>
          </c:tx>
          <c:spPr>
            <a:solidFill>
              <a:srgbClr val="990000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bs </c:v>
                </c:pt>
                <c:pt idx="5">
                  <c:v> Rizz </c:v>
                </c:pt>
                <c:pt idx="6">
                  <c:v> Events </c:v>
                </c:pt>
                <c:pt idx="7">
                  <c:v> Travels </c:v>
                </c:pt>
              </c:strCache>
            </c:strRef>
          </c:cat>
          <c:val>
            <c:numRef>
              <c:f>Graphs!$J$5:$J$12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5102</c:v>
                </c:pt>
                <c:pt idx="4">
                  <c:v>0</c:v>
                </c:pt>
                <c:pt idx="5">
                  <c:v>0</c:v>
                </c:pt>
                <c:pt idx="6">
                  <c:v>2351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B1-4A51-907A-1BA0AE84E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168976"/>
        <c:axId val="1343152656"/>
      </c:barChart>
      <c:catAx>
        <c:axId val="134316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3152656"/>
        <c:crosses val="autoZero"/>
        <c:auto val="1"/>
        <c:lblAlgn val="ctr"/>
        <c:lblOffset val="100"/>
        <c:noMultiLvlLbl val="0"/>
      </c:catAx>
      <c:valAx>
        <c:axId val="134315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316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Avg Viewership by</a:t>
            </a:r>
            <a:r>
              <a:rPr lang="en-US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Time-Slot, Collabs</a:t>
            </a:r>
            <a:endParaRPr lang="en-US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1957-4440-955F-69023323E00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1957-4440-955F-69023323E00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1957-4440-955F-69023323E00A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1957-4440-955F-69023323E0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Analysis'!$D$6:$K$6</c:f>
              <c:strCache>
                <c:ptCount val="8"/>
                <c:pt idx="0">
                  <c:v>Prime hours</c:v>
                </c:pt>
                <c:pt idx="1">
                  <c:v>Great times</c:v>
                </c:pt>
                <c:pt idx="2">
                  <c:v>Good times</c:v>
                </c:pt>
                <c:pt idx="3">
                  <c:v>Late-night</c:v>
                </c:pt>
                <c:pt idx="4">
                  <c:v>Early asf</c:v>
                </c:pt>
                <c:pt idx="5">
                  <c:v>GG EST Mfs</c:v>
                </c:pt>
                <c:pt idx="6">
                  <c:v>Lol</c:v>
                </c:pt>
                <c:pt idx="7">
                  <c:v>KeYS</c:v>
                </c:pt>
              </c:strCache>
            </c:strRef>
          </c:cat>
          <c:val>
            <c:numRef>
              <c:f>'In-Depth Analysis'!$D$8:$K$8</c:f>
              <c:numCache>
                <c:formatCode>_(* #,##0_);_(* \(#,##0\);_(* "-"??_);_(@_)</c:formatCode>
                <c:ptCount val="8"/>
                <c:pt idx="0">
                  <c:v>4648.083333333333</c:v>
                </c:pt>
                <c:pt idx="1">
                  <c:v>5326.1428571428569</c:v>
                </c:pt>
                <c:pt idx="2">
                  <c:v>4906.333333333333</c:v>
                </c:pt>
                <c:pt idx="3">
                  <c:v>5374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7-4440-955F-69023323E0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84612560"/>
        <c:axId val="584613040"/>
      </c:barChart>
      <c:lineChart>
        <c:grouping val="standard"/>
        <c:varyColors val="0"/>
        <c:ser>
          <c:idx val="1"/>
          <c:order val="1"/>
          <c:tx>
            <c:v>mean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'In-Depth Analysis'!$L$8</c:f>
              <c:numCache>
                <c:formatCode>_(* #,##0_);_(* \(#,##0\);_(* "-"??_);_(@_)</c:formatCode>
                <c:ptCount val="1"/>
                <c:pt idx="0">
                  <c:v>5063.6398809523807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957-4440-955F-69023323E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341104"/>
        <c:axId val="287353104"/>
      </c:lineChart>
      <c:catAx>
        <c:axId val="58461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4613040"/>
        <c:crosses val="autoZero"/>
        <c:auto val="1"/>
        <c:lblAlgn val="ctr"/>
        <c:lblOffset val="100"/>
        <c:noMultiLvlLbl val="0"/>
      </c:catAx>
      <c:valAx>
        <c:axId val="58461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4612560"/>
        <c:crosses val="autoZero"/>
        <c:crossBetween val="between"/>
      </c:valAx>
      <c:valAx>
        <c:axId val="287353104"/>
        <c:scaling>
          <c:orientation val="minMax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287341104"/>
        <c:crosses val="max"/>
        <c:crossBetween val="between"/>
      </c:valAx>
      <c:catAx>
        <c:axId val="287341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7353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Avg Viewership by</a:t>
            </a:r>
            <a:r>
              <a:rPr lang="en-US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Time-Slot, OSCS bs</a:t>
            </a:r>
            <a:endParaRPr lang="en-US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4C-4620-9E75-917EDB55D89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4C-4620-9E75-917EDB55D89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4C-4620-9E75-917EDB55D89B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4C-4620-9E75-917EDB55D8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Analysis'!$D$6:$K$6</c:f>
              <c:strCache>
                <c:ptCount val="8"/>
                <c:pt idx="0">
                  <c:v>Prime hours</c:v>
                </c:pt>
                <c:pt idx="1">
                  <c:v>Great times</c:v>
                </c:pt>
                <c:pt idx="2">
                  <c:v>Good times</c:v>
                </c:pt>
                <c:pt idx="3">
                  <c:v>Late-night</c:v>
                </c:pt>
                <c:pt idx="4">
                  <c:v>Early asf</c:v>
                </c:pt>
                <c:pt idx="5">
                  <c:v>GG EST Mfs</c:v>
                </c:pt>
                <c:pt idx="6">
                  <c:v>Lol</c:v>
                </c:pt>
                <c:pt idx="7">
                  <c:v>KeYS</c:v>
                </c:pt>
              </c:strCache>
            </c:strRef>
          </c:cat>
          <c:val>
            <c:numRef>
              <c:f>'In-Depth Analysis'!$D$11:$K$11</c:f>
              <c:numCache>
                <c:formatCode>_(* #,##0_);_(* \(#,##0\);_(* "-"??_);_(@_)</c:formatCode>
                <c:ptCount val="8"/>
                <c:pt idx="0">
                  <c:v>4467.75</c:v>
                </c:pt>
                <c:pt idx="1">
                  <c:v>4371.1428571428569</c:v>
                </c:pt>
                <c:pt idx="2">
                  <c:v>5550.636363636364</c:v>
                </c:pt>
                <c:pt idx="3">
                  <c:v>6045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4C-4620-9E75-917EDB55D8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84612560"/>
        <c:axId val="584613040"/>
      </c:barChart>
      <c:lineChart>
        <c:grouping val="standard"/>
        <c:varyColors val="0"/>
        <c:ser>
          <c:idx val="1"/>
          <c:order val="1"/>
          <c:tx>
            <c:v>mean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'In-Depth Analysis'!$L$8</c:f>
              <c:numCache>
                <c:formatCode>_(* #,##0_);_(* \(#,##0\);_(* "-"??_);_(@_)</c:formatCode>
                <c:ptCount val="1"/>
                <c:pt idx="0">
                  <c:v>5063.6398809523807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14C-4620-9E75-917EDB55D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341104"/>
        <c:axId val="287353104"/>
      </c:lineChart>
      <c:catAx>
        <c:axId val="58461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4613040"/>
        <c:crosses val="autoZero"/>
        <c:auto val="1"/>
        <c:lblAlgn val="ctr"/>
        <c:lblOffset val="100"/>
        <c:noMultiLvlLbl val="0"/>
      </c:catAx>
      <c:valAx>
        <c:axId val="58461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4612560"/>
        <c:crosses val="autoZero"/>
        <c:crossBetween val="between"/>
      </c:valAx>
      <c:valAx>
        <c:axId val="287353104"/>
        <c:scaling>
          <c:orientation val="minMax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287341104"/>
        <c:crosses val="max"/>
        <c:crossBetween val="between"/>
      </c:valAx>
      <c:catAx>
        <c:axId val="287341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7353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6.0503969179542039E-2"/>
                  <c:y val="1.16194625998546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64-4A8E-AC15-83F8FC9437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Analysis'!$C$31:$C$38</c:f>
              <c:strCache>
                <c:ptCount val="8"/>
                <c:pt idx="0">
                  <c:v>Desktop + Gaming</c:v>
                </c:pt>
                <c:pt idx="1">
                  <c:v>Collab</c:v>
                </c:pt>
                <c:pt idx="2">
                  <c:v>IRL</c:v>
                </c:pt>
                <c:pt idx="3">
                  <c:v>Barky</c:v>
                </c:pt>
                <c:pt idx="4">
                  <c:v>OSCS bs</c:v>
                </c:pt>
                <c:pt idx="5">
                  <c:v>Rizz</c:v>
                </c:pt>
                <c:pt idx="6">
                  <c:v>Events</c:v>
                </c:pt>
                <c:pt idx="7">
                  <c:v>Travels</c:v>
                </c:pt>
              </c:strCache>
            </c:strRef>
          </c:cat>
          <c:val>
            <c:numRef>
              <c:f>'In-Depth Analysis'!$D$31:$D$38</c:f>
              <c:numCache>
                <c:formatCode>0.00%</c:formatCode>
                <c:ptCount val="8"/>
                <c:pt idx="0">
                  <c:v>0.15348508078782877</c:v>
                </c:pt>
                <c:pt idx="1">
                  <c:v>0.10963753587294101</c:v>
                </c:pt>
                <c:pt idx="2">
                  <c:v>0.10739473994574834</c:v>
                </c:pt>
                <c:pt idx="3">
                  <c:v>0.16727208397216656</c:v>
                </c:pt>
                <c:pt idx="4">
                  <c:v>0.10538388960962379</c:v>
                </c:pt>
                <c:pt idx="5">
                  <c:v>0.13199669772378819</c:v>
                </c:pt>
                <c:pt idx="6">
                  <c:v>0.13065613083303851</c:v>
                </c:pt>
                <c:pt idx="7">
                  <c:v>9.4173841254864971E-2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4-4A8E-AC15-83F8FC9437C2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85990560"/>
        <c:axId val="1603679295"/>
      </c:lineChart>
      <c:catAx>
        <c:axId val="38599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3679295"/>
        <c:crosses val="autoZero"/>
        <c:auto val="1"/>
        <c:lblAlgn val="ctr"/>
        <c:lblOffset val="100"/>
        <c:noMultiLvlLbl val="0"/>
      </c:catAx>
      <c:valAx>
        <c:axId val="1603679295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8599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Great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'In-Depth Analysis'!$E$30</c:f>
              <c:strCache>
                <c:ptCount val="1"/>
                <c:pt idx="0">
                  <c:v>Great times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Analysis'!$C$31:$C$38</c:f>
              <c:strCache>
                <c:ptCount val="8"/>
                <c:pt idx="0">
                  <c:v>Desktop + Gaming</c:v>
                </c:pt>
                <c:pt idx="1">
                  <c:v>Collab</c:v>
                </c:pt>
                <c:pt idx="2">
                  <c:v>IRL</c:v>
                </c:pt>
                <c:pt idx="3">
                  <c:v>Barky</c:v>
                </c:pt>
                <c:pt idx="4">
                  <c:v>OSCS bs</c:v>
                </c:pt>
                <c:pt idx="5">
                  <c:v>Rizz</c:v>
                </c:pt>
                <c:pt idx="6">
                  <c:v>Events</c:v>
                </c:pt>
                <c:pt idx="7">
                  <c:v>Travels</c:v>
                </c:pt>
              </c:strCache>
            </c:strRef>
          </c:cat>
          <c:val>
            <c:numRef>
              <c:f>'In-Depth Analysis'!$E$31:$E$38</c:f>
              <c:numCache>
                <c:formatCode>0.00%</c:formatCode>
                <c:ptCount val="8"/>
                <c:pt idx="0">
                  <c:v>0.19034519849049475</c:v>
                </c:pt>
                <c:pt idx="1">
                  <c:v>0.1354811866005062</c:v>
                </c:pt>
                <c:pt idx="2">
                  <c:v>0.11292763713731811</c:v>
                </c:pt>
                <c:pt idx="3">
                  <c:v>0.31142539958828375</c:v>
                </c:pt>
                <c:pt idx="4">
                  <c:v>0.11118883532983635</c:v>
                </c:pt>
                <c:pt idx="5">
                  <c:v>0</c:v>
                </c:pt>
                <c:pt idx="6">
                  <c:v>0.13863174285356092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4F-4B7E-A203-2EDAE36372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85990560"/>
        <c:axId val="1603679295"/>
      </c:barChart>
      <c:catAx>
        <c:axId val="38599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3679295"/>
        <c:crosses val="autoZero"/>
        <c:auto val="1"/>
        <c:lblAlgn val="ctr"/>
        <c:lblOffset val="100"/>
        <c:noMultiLvlLbl val="0"/>
      </c:catAx>
      <c:valAx>
        <c:axId val="1603679295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8599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Good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'In-Depth Analysis'!$F$30</c:f>
              <c:strCache>
                <c:ptCount val="1"/>
                <c:pt idx="0">
                  <c:v>Good times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Analysis'!$C$31:$C$38</c:f>
              <c:strCache>
                <c:ptCount val="8"/>
                <c:pt idx="0">
                  <c:v>Desktop + Gaming</c:v>
                </c:pt>
                <c:pt idx="1">
                  <c:v>Collab</c:v>
                </c:pt>
                <c:pt idx="2">
                  <c:v>IRL</c:v>
                </c:pt>
                <c:pt idx="3">
                  <c:v>Barky</c:v>
                </c:pt>
                <c:pt idx="4">
                  <c:v>OSCS bs</c:v>
                </c:pt>
                <c:pt idx="5">
                  <c:v>Rizz</c:v>
                </c:pt>
                <c:pt idx="6">
                  <c:v>Events</c:v>
                </c:pt>
                <c:pt idx="7">
                  <c:v>Travels</c:v>
                </c:pt>
              </c:strCache>
            </c:strRef>
          </c:cat>
          <c:val>
            <c:numRef>
              <c:f>'In-Depth Analysis'!$F$31:$F$38</c:f>
              <c:numCache>
                <c:formatCode>0.00%</c:formatCode>
                <c:ptCount val="8"/>
                <c:pt idx="0">
                  <c:v>0.10485879860851892</c:v>
                </c:pt>
                <c:pt idx="1">
                  <c:v>0.12932007800717621</c:v>
                </c:pt>
                <c:pt idx="2">
                  <c:v>0.11602696855511713</c:v>
                </c:pt>
                <c:pt idx="3">
                  <c:v>0.21626035247638004</c:v>
                </c:pt>
                <c:pt idx="4">
                  <c:v>0.14630247860620765</c:v>
                </c:pt>
                <c:pt idx="5">
                  <c:v>0.14762995249368721</c:v>
                </c:pt>
                <c:pt idx="6">
                  <c:v>0.13960137125291283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C-4963-A5A2-FE2422348B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85990560"/>
        <c:axId val="1603679295"/>
      </c:barChart>
      <c:catAx>
        <c:axId val="38599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3679295"/>
        <c:crosses val="autoZero"/>
        <c:auto val="1"/>
        <c:lblAlgn val="ctr"/>
        <c:lblOffset val="100"/>
        <c:noMultiLvlLbl val="0"/>
      </c:catAx>
      <c:valAx>
        <c:axId val="1603679295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8599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Late-night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Analysis'!$C$31:$C$38</c:f>
              <c:strCache>
                <c:ptCount val="8"/>
                <c:pt idx="0">
                  <c:v>Desktop + Gaming</c:v>
                </c:pt>
                <c:pt idx="1">
                  <c:v>Collab</c:v>
                </c:pt>
                <c:pt idx="2">
                  <c:v>IRL</c:v>
                </c:pt>
                <c:pt idx="3">
                  <c:v>Barky</c:v>
                </c:pt>
                <c:pt idx="4">
                  <c:v>OSCS bs</c:v>
                </c:pt>
                <c:pt idx="5">
                  <c:v>Rizz</c:v>
                </c:pt>
                <c:pt idx="6">
                  <c:v>Events</c:v>
                </c:pt>
                <c:pt idx="7">
                  <c:v>Travels</c:v>
                </c:pt>
              </c:strCache>
            </c:strRef>
          </c:cat>
          <c:val>
            <c:numRef>
              <c:f>'In-Depth Analysis'!$G$31:$G$38</c:f>
              <c:numCache>
                <c:formatCode>0.00%</c:formatCode>
                <c:ptCount val="8"/>
                <c:pt idx="0">
                  <c:v>8.2206920336571815E-2</c:v>
                </c:pt>
                <c:pt idx="1">
                  <c:v>0.12636727399563413</c:v>
                </c:pt>
                <c:pt idx="2">
                  <c:v>0.16221130972209705</c:v>
                </c:pt>
                <c:pt idx="3">
                  <c:v>0.18167353161337355</c:v>
                </c:pt>
                <c:pt idx="4">
                  <c:v>0.14214554732110316</c:v>
                </c:pt>
                <c:pt idx="5">
                  <c:v>0.18204976465839218</c:v>
                </c:pt>
                <c:pt idx="6">
                  <c:v>0</c:v>
                </c:pt>
                <c:pt idx="7">
                  <c:v>0.12334565235282823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B-45F0-A5A4-FF9C638EC9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85990560"/>
        <c:axId val="1603679295"/>
      </c:barChart>
      <c:catAx>
        <c:axId val="38599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3679295"/>
        <c:crosses val="autoZero"/>
        <c:auto val="1"/>
        <c:lblAlgn val="ctr"/>
        <c:lblOffset val="100"/>
        <c:noMultiLvlLbl val="0"/>
      </c:catAx>
      <c:valAx>
        <c:axId val="1603679295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8599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159DFB-BFD9-7F44-646D-F34DBCD7D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28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900F45-6357-014E-73DB-CDE92A77F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28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0</xdr:colOff>
      <xdr:row>6</xdr:row>
      <xdr:rowOff>0</xdr:rowOff>
    </xdr:from>
    <xdr:ext cx="9525" cy="9525"/>
    <xdr:pic>
      <xdr:nvPicPr>
        <xdr:cNvPr id="4" name="Picture 3">
          <a:extLst>
            <a:ext uri="{FF2B5EF4-FFF2-40B4-BE49-F238E27FC236}">
              <a16:creationId xmlns:a16="http://schemas.microsoft.com/office/drawing/2014/main" id="{B0D6C93B-0A04-44FE-A3DC-41F47E6DB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28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</xdr:row>
      <xdr:rowOff>0</xdr:rowOff>
    </xdr:from>
    <xdr:ext cx="9525" cy="9525"/>
    <xdr:pic>
      <xdr:nvPicPr>
        <xdr:cNvPr id="5" name="Picture 4">
          <a:extLst>
            <a:ext uri="{FF2B5EF4-FFF2-40B4-BE49-F238E27FC236}">
              <a16:creationId xmlns:a16="http://schemas.microsoft.com/office/drawing/2014/main" id="{053A4B84-1A8A-4C2A-B95A-B0162DF9D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28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</xdr:row>
      <xdr:rowOff>0</xdr:rowOff>
    </xdr:from>
    <xdr:ext cx="9525" cy="9525"/>
    <xdr:pic>
      <xdr:nvPicPr>
        <xdr:cNvPr id="6" name="Picture 5">
          <a:extLst>
            <a:ext uri="{FF2B5EF4-FFF2-40B4-BE49-F238E27FC236}">
              <a16:creationId xmlns:a16="http://schemas.microsoft.com/office/drawing/2014/main" id="{ED3411F7-F784-4561-82A2-1A1331D3F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</xdr:row>
      <xdr:rowOff>0</xdr:rowOff>
    </xdr:from>
    <xdr:ext cx="9525" cy="9525"/>
    <xdr:pic>
      <xdr:nvPicPr>
        <xdr:cNvPr id="7" name="Picture 6">
          <a:extLst>
            <a:ext uri="{FF2B5EF4-FFF2-40B4-BE49-F238E27FC236}">
              <a16:creationId xmlns:a16="http://schemas.microsoft.com/office/drawing/2014/main" id="{B3170821-C636-4529-99D9-33E323236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0" y="80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</xdr:row>
      <xdr:rowOff>0</xdr:rowOff>
    </xdr:from>
    <xdr:ext cx="9525" cy="9525"/>
    <xdr:pic>
      <xdr:nvPicPr>
        <xdr:cNvPr id="8" name="Picture 7">
          <a:extLst>
            <a:ext uri="{FF2B5EF4-FFF2-40B4-BE49-F238E27FC236}">
              <a16:creationId xmlns:a16="http://schemas.microsoft.com/office/drawing/2014/main" id="{86E58F62-A828-4207-BFFC-540E3974A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</xdr:row>
      <xdr:rowOff>0</xdr:rowOff>
    </xdr:from>
    <xdr:ext cx="9525" cy="9525"/>
    <xdr:pic>
      <xdr:nvPicPr>
        <xdr:cNvPr id="9" name="Picture 8">
          <a:extLst>
            <a:ext uri="{FF2B5EF4-FFF2-40B4-BE49-F238E27FC236}">
              <a16:creationId xmlns:a16="http://schemas.microsoft.com/office/drawing/2014/main" id="{3B1BF645-421F-486C-8DF6-4FA02E6B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</xdr:row>
      <xdr:rowOff>0</xdr:rowOff>
    </xdr:from>
    <xdr:ext cx="9525" cy="9525"/>
    <xdr:pic>
      <xdr:nvPicPr>
        <xdr:cNvPr id="10" name="Picture 9">
          <a:extLst>
            <a:ext uri="{FF2B5EF4-FFF2-40B4-BE49-F238E27FC236}">
              <a16:creationId xmlns:a16="http://schemas.microsoft.com/office/drawing/2014/main" id="{DE64DFAC-6CCC-49E1-8952-9972B0CE1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</xdr:row>
      <xdr:rowOff>0</xdr:rowOff>
    </xdr:from>
    <xdr:ext cx="9525" cy="9525"/>
    <xdr:pic>
      <xdr:nvPicPr>
        <xdr:cNvPr id="11" name="Picture 10">
          <a:extLst>
            <a:ext uri="{FF2B5EF4-FFF2-40B4-BE49-F238E27FC236}">
              <a16:creationId xmlns:a16="http://schemas.microsoft.com/office/drawing/2014/main" id="{F5B705CF-804C-490A-A57A-9F62BACC5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9</xdr:row>
      <xdr:rowOff>0</xdr:rowOff>
    </xdr:from>
    <xdr:ext cx="9525" cy="9525"/>
    <xdr:pic>
      <xdr:nvPicPr>
        <xdr:cNvPr id="12" name="Picture 11">
          <a:extLst>
            <a:ext uri="{FF2B5EF4-FFF2-40B4-BE49-F238E27FC236}">
              <a16:creationId xmlns:a16="http://schemas.microsoft.com/office/drawing/2014/main" id="{A0FA30CD-1AFA-4C2A-86D6-42127FF0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9</xdr:row>
      <xdr:rowOff>0</xdr:rowOff>
    </xdr:from>
    <xdr:ext cx="9525" cy="9525"/>
    <xdr:pic>
      <xdr:nvPicPr>
        <xdr:cNvPr id="13" name="Picture 12">
          <a:extLst>
            <a:ext uri="{FF2B5EF4-FFF2-40B4-BE49-F238E27FC236}">
              <a16:creationId xmlns:a16="http://schemas.microsoft.com/office/drawing/2014/main" id="{AB8685C1-89F8-4DEE-AF14-A3876C596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10</xdr:row>
      <xdr:rowOff>0</xdr:rowOff>
    </xdr:from>
    <xdr:ext cx="9525" cy="9525"/>
    <xdr:pic>
      <xdr:nvPicPr>
        <xdr:cNvPr id="14" name="Picture 13">
          <a:extLst>
            <a:ext uri="{FF2B5EF4-FFF2-40B4-BE49-F238E27FC236}">
              <a16:creationId xmlns:a16="http://schemas.microsoft.com/office/drawing/2014/main" id="{EC6FED99-C095-435E-8715-6401ACE3F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10</xdr:row>
      <xdr:rowOff>0</xdr:rowOff>
    </xdr:from>
    <xdr:ext cx="9525" cy="9525"/>
    <xdr:pic>
      <xdr:nvPicPr>
        <xdr:cNvPr id="15" name="Picture 14">
          <a:extLst>
            <a:ext uri="{FF2B5EF4-FFF2-40B4-BE49-F238E27FC236}">
              <a16:creationId xmlns:a16="http://schemas.microsoft.com/office/drawing/2014/main" id="{384CB02E-969F-4863-950B-D994F9ACA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0</xdr:rowOff>
    </xdr:from>
    <xdr:ext cx="9525" cy="9525"/>
    <xdr:pic>
      <xdr:nvPicPr>
        <xdr:cNvPr id="16" name="Picture 15">
          <a:extLst>
            <a:ext uri="{FF2B5EF4-FFF2-40B4-BE49-F238E27FC236}">
              <a16:creationId xmlns:a16="http://schemas.microsoft.com/office/drawing/2014/main" id="{056638FE-3986-4903-B275-D4D4616B8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0</xdr:rowOff>
    </xdr:from>
    <xdr:ext cx="9525" cy="9525"/>
    <xdr:pic>
      <xdr:nvPicPr>
        <xdr:cNvPr id="17" name="Picture 16">
          <a:extLst>
            <a:ext uri="{FF2B5EF4-FFF2-40B4-BE49-F238E27FC236}">
              <a16:creationId xmlns:a16="http://schemas.microsoft.com/office/drawing/2014/main" id="{5503E90B-6C6E-4844-B69A-18A098DA4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12</xdr:row>
      <xdr:rowOff>0</xdr:rowOff>
    </xdr:from>
    <xdr:ext cx="9525" cy="9525"/>
    <xdr:pic>
      <xdr:nvPicPr>
        <xdr:cNvPr id="18" name="Picture 17">
          <a:extLst>
            <a:ext uri="{FF2B5EF4-FFF2-40B4-BE49-F238E27FC236}">
              <a16:creationId xmlns:a16="http://schemas.microsoft.com/office/drawing/2014/main" id="{7DA978C0-EFCB-44A8-9B6B-A38F2E93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12</xdr:row>
      <xdr:rowOff>0</xdr:rowOff>
    </xdr:from>
    <xdr:ext cx="9525" cy="9525"/>
    <xdr:pic>
      <xdr:nvPicPr>
        <xdr:cNvPr id="19" name="Picture 18">
          <a:extLst>
            <a:ext uri="{FF2B5EF4-FFF2-40B4-BE49-F238E27FC236}">
              <a16:creationId xmlns:a16="http://schemas.microsoft.com/office/drawing/2014/main" id="{4967E364-D3B1-4238-8FC0-2108E2660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13</xdr:row>
      <xdr:rowOff>0</xdr:rowOff>
    </xdr:from>
    <xdr:ext cx="9525" cy="9525"/>
    <xdr:pic>
      <xdr:nvPicPr>
        <xdr:cNvPr id="20" name="Picture 19">
          <a:extLst>
            <a:ext uri="{FF2B5EF4-FFF2-40B4-BE49-F238E27FC236}">
              <a16:creationId xmlns:a16="http://schemas.microsoft.com/office/drawing/2014/main" id="{A45DD2BE-8D2C-4703-8316-913CAC5F1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13</xdr:row>
      <xdr:rowOff>0</xdr:rowOff>
    </xdr:from>
    <xdr:ext cx="9525" cy="9525"/>
    <xdr:pic>
      <xdr:nvPicPr>
        <xdr:cNvPr id="21" name="Picture 20">
          <a:extLst>
            <a:ext uri="{FF2B5EF4-FFF2-40B4-BE49-F238E27FC236}">
              <a16:creationId xmlns:a16="http://schemas.microsoft.com/office/drawing/2014/main" id="{C327B7C3-4750-4985-AFCF-F903C0523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13</xdr:row>
      <xdr:rowOff>0</xdr:rowOff>
    </xdr:from>
    <xdr:ext cx="9525" cy="9525"/>
    <xdr:pic>
      <xdr:nvPicPr>
        <xdr:cNvPr id="22" name="Picture 21">
          <a:extLst>
            <a:ext uri="{FF2B5EF4-FFF2-40B4-BE49-F238E27FC236}">
              <a16:creationId xmlns:a16="http://schemas.microsoft.com/office/drawing/2014/main" id="{909CC17B-9C7C-4CD4-A97D-706F0312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194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487680</xdr:colOff>
      <xdr:row>5</xdr:row>
      <xdr:rowOff>137160</xdr:rowOff>
    </xdr:from>
    <xdr:ext cx="9525" cy="9525"/>
    <xdr:pic>
      <xdr:nvPicPr>
        <xdr:cNvPr id="23" name="Picture 22">
          <a:extLst>
            <a:ext uri="{FF2B5EF4-FFF2-40B4-BE49-F238E27FC236}">
              <a16:creationId xmlns:a16="http://schemas.microsoft.com/office/drawing/2014/main" id="{EDDD351B-B8D4-4E53-AC51-D43CB9EA1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9440" y="9372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</xdr:row>
      <xdr:rowOff>0</xdr:rowOff>
    </xdr:from>
    <xdr:ext cx="9525" cy="9525"/>
    <xdr:pic>
      <xdr:nvPicPr>
        <xdr:cNvPr id="24" name="Picture 23">
          <a:extLst>
            <a:ext uri="{FF2B5EF4-FFF2-40B4-BE49-F238E27FC236}">
              <a16:creationId xmlns:a16="http://schemas.microsoft.com/office/drawing/2014/main" id="{F130B1E7-51BF-4147-BEFE-01A2076E6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</xdr:row>
      <xdr:rowOff>0</xdr:rowOff>
    </xdr:from>
    <xdr:ext cx="9525" cy="9525"/>
    <xdr:pic>
      <xdr:nvPicPr>
        <xdr:cNvPr id="25" name="Picture 24">
          <a:extLst>
            <a:ext uri="{FF2B5EF4-FFF2-40B4-BE49-F238E27FC236}">
              <a16:creationId xmlns:a16="http://schemas.microsoft.com/office/drawing/2014/main" id="{1EA320A2-8D09-4B1F-AC68-E2E332151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</xdr:row>
      <xdr:rowOff>0</xdr:rowOff>
    </xdr:from>
    <xdr:ext cx="9525" cy="9525"/>
    <xdr:pic>
      <xdr:nvPicPr>
        <xdr:cNvPr id="26" name="Picture 25">
          <a:extLst>
            <a:ext uri="{FF2B5EF4-FFF2-40B4-BE49-F238E27FC236}">
              <a16:creationId xmlns:a16="http://schemas.microsoft.com/office/drawing/2014/main" id="{9BC27EA7-9FB5-4980-9F2C-6989D241F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</xdr:row>
      <xdr:rowOff>0</xdr:rowOff>
    </xdr:from>
    <xdr:ext cx="9525" cy="9525"/>
    <xdr:pic>
      <xdr:nvPicPr>
        <xdr:cNvPr id="27" name="Picture 26">
          <a:extLst>
            <a:ext uri="{FF2B5EF4-FFF2-40B4-BE49-F238E27FC236}">
              <a16:creationId xmlns:a16="http://schemas.microsoft.com/office/drawing/2014/main" id="{7159EBB1-22EB-4F97-B72D-E4AE72D54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9</xdr:row>
      <xdr:rowOff>0</xdr:rowOff>
    </xdr:from>
    <xdr:ext cx="9525" cy="9525"/>
    <xdr:pic>
      <xdr:nvPicPr>
        <xdr:cNvPr id="28" name="Picture 27">
          <a:extLst>
            <a:ext uri="{FF2B5EF4-FFF2-40B4-BE49-F238E27FC236}">
              <a16:creationId xmlns:a16="http://schemas.microsoft.com/office/drawing/2014/main" id="{268CC9C6-0A18-4179-9181-44C71A0C7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9</xdr:row>
      <xdr:rowOff>0</xdr:rowOff>
    </xdr:from>
    <xdr:ext cx="9525" cy="9525"/>
    <xdr:pic>
      <xdr:nvPicPr>
        <xdr:cNvPr id="29" name="Picture 28">
          <a:extLst>
            <a:ext uri="{FF2B5EF4-FFF2-40B4-BE49-F238E27FC236}">
              <a16:creationId xmlns:a16="http://schemas.microsoft.com/office/drawing/2014/main" id="{8664C5BF-7DC2-44E5-88F9-D62D23D42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10</xdr:row>
      <xdr:rowOff>0</xdr:rowOff>
    </xdr:from>
    <xdr:ext cx="9525" cy="9525"/>
    <xdr:pic>
      <xdr:nvPicPr>
        <xdr:cNvPr id="30" name="Picture 29">
          <a:extLst>
            <a:ext uri="{FF2B5EF4-FFF2-40B4-BE49-F238E27FC236}">
              <a16:creationId xmlns:a16="http://schemas.microsoft.com/office/drawing/2014/main" id="{53752BF9-A96E-4067-A626-A5E4C62A5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0</xdr:rowOff>
    </xdr:from>
    <xdr:ext cx="9525" cy="9525"/>
    <xdr:pic>
      <xdr:nvPicPr>
        <xdr:cNvPr id="32" name="Picture 31">
          <a:extLst>
            <a:ext uri="{FF2B5EF4-FFF2-40B4-BE49-F238E27FC236}">
              <a16:creationId xmlns:a16="http://schemas.microsoft.com/office/drawing/2014/main" id="{39F90CD0-18DD-438C-9CA0-9EEAB0866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12</xdr:row>
      <xdr:rowOff>0</xdr:rowOff>
    </xdr:from>
    <xdr:ext cx="9525" cy="9525"/>
    <xdr:pic>
      <xdr:nvPicPr>
        <xdr:cNvPr id="34" name="Picture 33">
          <a:extLst>
            <a:ext uri="{FF2B5EF4-FFF2-40B4-BE49-F238E27FC236}">
              <a16:creationId xmlns:a16="http://schemas.microsoft.com/office/drawing/2014/main" id="{FE1FC481-C724-47EB-8162-5974EB42A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9525" cy="9525"/>
    <xdr:pic>
      <xdr:nvPicPr>
        <xdr:cNvPr id="38" name="Picture 37">
          <a:extLst>
            <a:ext uri="{FF2B5EF4-FFF2-40B4-BE49-F238E27FC236}">
              <a16:creationId xmlns:a16="http://schemas.microsoft.com/office/drawing/2014/main" id="{EB756991-B10D-4FE1-8072-058ECEEB4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9525" cy="9525"/>
    <xdr:pic>
      <xdr:nvPicPr>
        <xdr:cNvPr id="39" name="Picture 38">
          <a:extLst>
            <a:ext uri="{FF2B5EF4-FFF2-40B4-BE49-F238E27FC236}">
              <a16:creationId xmlns:a16="http://schemas.microsoft.com/office/drawing/2014/main" id="{A14730C3-CA9B-41E9-A57D-97ADF9C8F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17</xdr:row>
      <xdr:rowOff>0</xdr:rowOff>
    </xdr:from>
    <xdr:ext cx="9525" cy="9525"/>
    <xdr:pic>
      <xdr:nvPicPr>
        <xdr:cNvPr id="40" name="Picture 39">
          <a:extLst>
            <a:ext uri="{FF2B5EF4-FFF2-40B4-BE49-F238E27FC236}">
              <a16:creationId xmlns:a16="http://schemas.microsoft.com/office/drawing/2014/main" id="{FD59F0B1-740E-44A6-A1AB-EB191538A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0" y="80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17</xdr:row>
      <xdr:rowOff>0</xdr:rowOff>
    </xdr:from>
    <xdr:ext cx="9525" cy="9525"/>
    <xdr:pic>
      <xdr:nvPicPr>
        <xdr:cNvPr id="41" name="Picture 40">
          <a:extLst>
            <a:ext uri="{FF2B5EF4-FFF2-40B4-BE49-F238E27FC236}">
              <a16:creationId xmlns:a16="http://schemas.microsoft.com/office/drawing/2014/main" id="{F193FB5B-E933-4FFF-AB8E-5CA9862C0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0" y="80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0</xdr:rowOff>
    </xdr:from>
    <xdr:ext cx="9525" cy="9525"/>
    <xdr:pic>
      <xdr:nvPicPr>
        <xdr:cNvPr id="44" name="Picture 43">
          <a:extLst>
            <a:ext uri="{FF2B5EF4-FFF2-40B4-BE49-F238E27FC236}">
              <a16:creationId xmlns:a16="http://schemas.microsoft.com/office/drawing/2014/main" id="{B68A85CE-02BD-4B3D-8640-142DC92F1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295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0</xdr:rowOff>
    </xdr:from>
    <xdr:ext cx="9525" cy="9525"/>
    <xdr:pic>
      <xdr:nvPicPr>
        <xdr:cNvPr id="45" name="Picture 44">
          <a:extLst>
            <a:ext uri="{FF2B5EF4-FFF2-40B4-BE49-F238E27FC236}">
              <a16:creationId xmlns:a16="http://schemas.microsoft.com/office/drawing/2014/main" id="{86A02739-FF1D-459B-9ECF-81E7E9FD0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295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9525" cy="9525"/>
    <xdr:pic>
      <xdr:nvPicPr>
        <xdr:cNvPr id="46" name="Picture 45">
          <a:extLst>
            <a:ext uri="{FF2B5EF4-FFF2-40B4-BE49-F238E27FC236}">
              <a16:creationId xmlns:a16="http://schemas.microsoft.com/office/drawing/2014/main" id="{7694D5D8-61C1-48D5-92B8-508FE2C6E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45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9525" cy="9525"/>
    <xdr:pic>
      <xdr:nvPicPr>
        <xdr:cNvPr id="47" name="Picture 46">
          <a:extLst>
            <a:ext uri="{FF2B5EF4-FFF2-40B4-BE49-F238E27FC236}">
              <a16:creationId xmlns:a16="http://schemas.microsoft.com/office/drawing/2014/main" id="{F3D97403-5046-4EC9-9975-96B22CCD2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45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0</xdr:rowOff>
    </xdr:from>
    <xdr:ext cx="9525" cy="9525"/>
    <xdr:pic>
      <xdr:nvPicPr>
        <xdr:cNvPr id="48" name="Picture 47">
          <a:extLst>
            <a:ext uri="{FF2B5EF4-FFF2-40B4-BE49-F238E27FC236}">
              <a16:creationId xmlns:a16="http://schemas.microsoft.com/office/drawing/2014/main" id="{ACE1EF50-921B-418C-A9BC-38285EDDB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61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0</xdr:rowOff>
    </xdr:from>
    <xdr:ext cx="9525" cy="9525"/>
    <xdr:pic>
      <xdr:nvPicPr>
        <xdr:cNvPr id="49" name="Picture 48">
          <a:extLst>
            <a:ext uri="{FF2B5EF4-FFF2-40B4-BE49-F238E27FC236}">
              <a16:creationId xmlns:a16="http://schemas.microsoft.com/office/drawing/2014/main" id="{9A375616-1C05-4214-811E-6ECFEE1A5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61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9525" cy="9525"/>
    <xdr:pic>
      <xdr:nvPicPr>
        <xdr:cNvPr id="50" name="Picture 49">
          <a:extLst>
            <a:ext uri="{FF2B5EF4-FFF2-40B4-BE49-F238E27FC236}">
              <a16:creationId xmlns:a16="http://schemas.microsoft.com/office/drawing/2014/main" id="{1AF7687B-39B3-4896-98A7-6018D5AE5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781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9525" cy="9525"/>
    <xdr:pic>
      <xdr:nvPicPr>
        <xdr:cNvPr id="51" name="Picture 50">
          <a:extLst>
            <a:ext uri="{FF2B5EF4-FFF2-40B4-BE49-F238E27FC236}">
              <a16:creationId xmlns:a16="http://schemas.microsoft.com/office/drawing/2014/main" id="{20C253E3-834E-4AEE-8D65-701441567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781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9525" cy="9525"/>
    <xdr:pic>
      <xdr:nvPicPr>
        <xdr:cNvPr id="52" name="Picture 51">
          <a:extLst>
            <a:ext uri="{FF2B5EF4-FFF2-40B4-BE49-F238E27FC236}">
              <a16:creationId xmlns:a16="http://schemas.microsoft.com/office/drawing/2014/main" id="{AD17BB50-CF06-4F28-B55E-A1FAB058B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94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9525" cy="9525"/>
    <xdr:pic>
      <xdr:nvPicPr>
        <xdr:cNvPr id="53" name="Picture 52">
          <a:extLst>
            <a:ext uri="{FF2B5EF4-FFF2-40B4-BE49-F238E27FC236}">
              <a16:creationId xmlns:a16="http://schemas.microsoft.com/office/drawing/2014/main" id="{A078A567-6671-4DF4-94EB-3452691B2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94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54" name="Picture 53">
          <a:extLst>
            <a:ext uri="{FF2B5EF4-FFF2-40B4-BE49-F238E27FC236}">
              <a16:creationId xmlns:a16="http://schemas.microsoft.com/office/drawing/2014/main" id="{D025C19A-B77D-43E3-A4AF-C86A70FD4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210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55" name="Picture 54">
          <a:extLst>
            <a:ext uri="{FF2B5EF4-FFF2-40B4-BE49-F238E27FC236}">
              <a16:creationId xmlns:a16="http://schemas.microsoft.com/office/drawing/2014/main" id="{58FF4989-9EED-44AF-BF93-A87FC6F46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210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56" name="Picture 55">
          <a:extLst>
            <a:ext uri="{FF2B5EF4-FFF2-40B4-BE49-F238E27FC236}">
              <a16:creationId xmlns:a16="http://schemas.microsoft.com/office/drawing/2014/main" id="{9129B454-CAAA-49C9-BA8B-A7B2F53C4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210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57" name="Picture 56">
          <a:extLst>
            <a:ext uri="{FF2B5EF4-FFF2-40B4-BE49-F238E27FC236}">
              <a16:creationId xmlns:a16="http://schemas.microsoft.com/office/drawing/2014/main" id="{557161E8-EB59-40B7-AE63-10C98B263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210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9525" cy="9525"/>
    <xdr:pic>
      <xdr:nvPicPr>
        <xdr:cNvPr id="62" name="Picture 61">
          <a:extLst>
            <a:ext uri="{FF2B5EF4-FFF2-40B4-BE49-F238E27FC236}">
              <a16:creationId xmlns:a16="http://schemas.microsoft.com/office/drawing/2014/main" id="{74D0D3CC-3AE9-4AED-9ADC-D61A7BEDD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45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9525" cy="9525"/>
    <xdr:pic>
      <xdr:nvPicPr>
        <xdr:cNvPr id="63" name="Picture 62">
          <a:extLst>
            <a:ext uri="{FF2B5EF4-FFF2-40B4-BE49-F238E27FC236}">
              <a16:creationId xmlns:a16="http://schemas.microsoft.com/office/drawing/2014/main" id="{08FB91C9-0639-4BDE-AFC8-0DAAB4083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45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0</xdr:rowOff>
    </xdr:from>
    <xdr:ext cx="9525" cy="9525"/>
    <xdr:pic>
      <xdr:nvPicPr>
        <xdr:cNvPr id="64" name="Picture 63">
          <a:extLst>
            <a:ext uri="{FF2B5EF4-FFF2-40B4-BE49-F238E27FC236}">
              <a16:creationId xmlns:a16="http://schemas.microsoft.com/office/drawing/2014/main" id="{8AE39592-78CB-46AB-9CE0-27BF1E495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61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9525" cy="9525"/>
    <xdr:pic>
      <xdr:nvPicPr>
        <xdr:cNvPr id="66" name="Picture 65">
          <a:extLst>
            <a:ext uri="{FF2B5EF4-FFF2-40B4-BE49-F238E27FC236}">
              <a16:creationId xmlns:a16="http://schemas.microsoft.com/office/drawing/2014/main" id="{C1DBC722-FA80-411D-9CEA-16FBB9EE4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781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9525" cy="9525"/>
    <xdr:pic>
      <xdr:nvPicPr>
        <xdr:cNvPr id="67" name="Picture 66">
          <a:extLst>
            <a:ext uri="{FF2B5EF4-FFF2-40B4-BE49-F238E27FC236}">
              <a16:creationId xmlns:a16="http://schemas.microsoft.com/office/drawing/2014/main" id="{3E181262-47C5-496A-AF6A-40A01D4C2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781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9525" cy="9525"/>
    <xdr:pic>
      <xdr:nvPicPr>
        <xdr:cNvPr id="68" name="Picture 67">
          <a:extLst>
            <a:ext uri="{FF2B5EF4-FFF2-40B4-BE49-F238E27FC236}">
              <a16:creationId xmlns:a16="http://schemas.microsoft.com/office/drawing/2014/main" id="{8AF46B67-DC4A-4BD2-A5D8-47C8379B3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94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70" name="Picture 69">
          <a:extLst>
            <a:ext uri="{FF2B5EF4-FFF2-40B4-BE49-F238E27FC236}">
              <a16:creationId xmlns:a16="http://schemas.microsoft.com/office/drawing/2014/main" id="{21B95DB2-A17F-45C1-91AE-178ADE0A7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210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71" name="Picture 70">
          <a:extLst>
            <a:ext uri="{FF2B5EF4-FFF2-40B4-BE49-F238E27FC236}">
              <a16:creationId xmlns:a16="http://schemas.microsoft.com/office/drawing/2014/main" id="{8679E6B0-77AB-4623-8D24-47E3813BD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210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9525" cy="9525"/>
    <xdr:pic>
      <xdr:nvPicPr>
        <xdr:cNvPr id="72" name="Picture 71">
          <a:extLst>
            <a:ext uri="{FF2B5EF4-FFF2-40B4-BE49-F238E27FC236}">
              <a16:creationId xmlns:a16="http://schemas.microsoft.com/office/drawing/2014/main" id="{0C3D50C6-2085-4F1A-AF8D-0DFBE5B44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9525" cy="9525"/>
    <xdr:pic>
      <xdr:nvPicPr>
        <xdr:cNvPr id="73" name="Picture 72">
          <a:extLst>
            <a:ext uri="{FF2B5EF4-FFF2-40B4-BE49-F238E27FC236}">
              <a16:creationId xmlns:a16="http://schemas.microsoft.com/office/drawing/2014/main" id="{4F42CF8F-2A5B-4CFE-862C-AF463A6F9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9525" cy="9525"/>
    <xdr:pic>
      <xdr:nvPicPr>
        <xdr:cNvPr id="74" name="Picture 73">
          <a:extLst>
            <a:ext uri="{FF2B5EF4-FFF2-40B4-BE49-F238E27FC236}">
              <a16:creationId xmlns:a16="http://schemas.microsoft.com/office/drawing/2014/main" id="{E96E9F59-9156-4F5E-817B-F90D37CAF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9525" cy="9525"/>
    <xdr:pic>
      <xdr:nvPicPr>
        <xdr:cNvPr id="75" name="Picture 74">
          <a:extLst>
            <a:ext uri="{FF2B5EF4-FFF2-40B4-BE49-F238E27FC236}">
              <a16:creationId xmlns:a16="http://schemas.microsoft.com/office/drawing/2014/main" id="{C50402AE-C7E0-48FE-9589-ED8CB3079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9525" cy="9525"/>
    <xdr:pic>
      <xdr:nvPicPr>
        <xdr:cNvPr id="76" name="Picture 75">
          <a:extLst>
            <a:ext uri="{FF2B5EF4-FFF2-40B4-BE49-F238E27FC236}">
              <a16:creationId xmlns:a16="http://schemas.microsoft.com/office/drawing/2014/main" id="{732493D3-83A6-4A12-A67B-C0E49F3BA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9525" cy="9525"/>
    <xdr:pic>
      <xdr:nvPicPr>
        <xdr:cNvPr id="77" name="Picture 76">
          <a:extLst>
            <a:ext uri="{FF2B5EF4-FFF2-40B4-BE49-F238E27FC236}">
              <a16:creationId xmlns:a16="http://schemas.microsoft.com/office/drawing/2014/main" id="{ACC62765-CE29-4281-B6A0-0371ECC12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0</xdr:rowOff>
    </xdr:from>
    <xdr:ext cx="9525" cy="9525"/>
    <xdr:pic>
      <xdr:nvPicPr>
        <xdr:cNvPr id="78" name="Picture 77">
          <a:extLst>
            <a:ext uri="{FF2B5EF4-FFF2-40B4-BE49-F238E27FC236}">
              <a16:creationId xmlns:a16="http://schemas.microsoft.com/office/drawing/2014/main" id="{D9A560BC-AD06-4E7C-BB83-403BD14F6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0</xdr:rowOff>
    </xdr:from>
    <xdr:ext cx="9525" cy="9525"/>
    <xdr:pic>
      <xdr:nvPicPr>
        <xdr:cNvPr id="79" name="Picture 78">
          <a:extLst>
            <a:ext uri="{FF2B5EF4-FFF2-40B4-BE49-F238E27FC236}">
              <a16:creationId xmlns:a16="http://schemas.microsoft.com/office/drawing/2014/main" id="{4F3CD9D3-7232-41F5-80B7-5A48DAAB8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0</xdr:rowOff>
    </xdr:from>
    <xdr:ext cx="9525" cy="9525"/>
    <xdr:pic>
      <xdr:nvPicPr>
        <xdr:cNvPr id="80" name="Picture 79">
          <a:extLst>
            <a:ext uri="{FF2B5EF4-FFF2-40B4-BE49-F238E27FC236}">
              <a16:creationId xmlns:a16="http://schemas.microsoft.com/office/drawing/2014/main" id="{C7BA8B13-D86C-4D14-868F-2BFB15208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0</xdr:rowOff>
    </xdr:from>
    <xdr:ext cx="9525" cy="9525"/>
    <xdr:pic>
      <xdr:nvPicPr>
        <xdr:cNvPr id="81" name="Picture 80">
          <a:extLst>
            <a:ext uri="{FF2B5EF4-FFF2-40B4-BE49-F238E27FC236}">
              <a16:creationId xmlns:a16="http://schemas.microsoft.com/office/drawing/2014/main" id="{4F130B9C-88FA-4232-BD4B-781516657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9525" cy="9525"/>
    <xdr:pic>
      <xdr:nvPicPr>
        <xdr:cNvPr id="82" name="Picture 81">
          <a:extLst>
            <a:ext uri="{FF2B5EF4-FFF2-40B4-BE49-F238E27FC236}">
              <a16:creationId xmlns:a16="http://schemas.microsoft.com/office/drawing/2014/main" id="{5C6A75E9-6676-4B23-86AB-42E8D9913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9525" cy="9525"/>
    <xdr:pic>
      <xdr:nvPicPr>
        <xdr:cNvPr id="83" name="Picture 82">
          <a:extLst>
            <a:ext uri="{FF2B5EF4-FFF2-40B4-BE49-F238E27FC236}">
              <a16:creationId xmlns:a16="http://schemas.microsoft.com/office/drawing/2014/main" id="{4C55A31C-F5B8-4279-9355-4B55E13C4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9525" cy="9525"/>
    <xdr:pic>
      <xdr:nvPicPr>
        <xdr:cNvPr id="84" name="Picture 83">
          <a:extLst>
            <a:ext uri="{FF2B5EF4-FFF2-40B4-BE49-F238E27FC236}">
              <a16:creationId xmlns:a16="http://schemas.microsoft.com/office/drawing/2014/main" id="{A95535D7-8048-47D1-89B7-ED0B9B1CE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9525" cy="9525"/>
    <xdr:pic>
      <xdr:nvPicPr>
        <xdr:cNvPr id="85" name="Picture 84">
          <a:extLst>
            <a:ext uri="{FF2B5EF4-FFF2-40B4-BE49-F238E27FC236}">
              <a16:creationId xmlns:a16="http://schemas.microsoft.com/office/drawing/2014/main" id="{BDA8EB47-BEAB-419B-AD46-6315CCBFB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0</xdr:rowOff>
    </xdr:from>
    <xdr:ext cx="9525" cy="9525"/>
    <xdr:pic>
      <xdr:nvPicPr>
        <xdr:cNvPr id="86" name="Picture 85">
          <a:extLst>
            <a:ext uri="{FF2B5EF4-FFF2-40B4-BE49-F238E27FC236}">
              <a16:creationId xmlns:a16="http://schemas.microsoft.com/office/drawing/2014/main" id="{8D74F6A5-6867-4E1A-98DC-5A424FF04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0</xdr:rowOff>
    </xdr:from>
    <xdr:ext cx="9525" cy="9525"/>
    <xdr:pic>
      <xdr:nvPicPr>
        <xdr:cNvPr id="87" name="Picture 86">
          <a:extLst>
            <a:ext uri="{FF2B5EF4-FFF2-40B4-BE49-F238E27FC236}">
              <a16:creationId xmlns:a16="http://schemas.microsoft.com/office/drawing/2014/main" id="{992B6875-0948-4160-A36F-1EDD77F99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0</xdr:rowOff>
    </xdr:from>
    <xdr:ext cx="9525" cy="9525"/>
    <xdr:pic>
      <xdr:nvPicPr>
        <xdr:cNvPr id="88" name="Picture 87">
          <a:extLst>
            <a:ext uri="{FF2B5EF4-FFF2-40B4-BE49-F238E27FC236}">
              <a16:creationId xmlns:a16="http://schemas.microsoft.com/office/drawing/2014/main" id="{6C7700AB-C251-4DC0-AF86-3C4DAC7B8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0</xdr:rowOff>
    </xdr:from>
    <xdr:ext cx="9525" cy="9525"/>
    <xdr:pic>
      <xdr:nvPicPr>
        <xdr:cNvPr id="89" name="Picture 88">
          <a:extLst>
            <a:ext uri="{FF2B5EF4-FFF2-40B4-BE49-F238E27FC236}">
              <a16:creationId xmlns:a16="http://schemas.microsoft.com/office/drawing/2014/main" id="{DBCF0CD5-591D-45DE-A456-A431170F1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9525" cy="9525"/>
    <xdr:pic>
      <xdr:nvPicPr>
        <xdr:cNvPr id="90" name="Picture 89">
          <a:extLst>
            <a:ext uri="{FF2B5EF4-FFF2-40B4-BE49-F238E27FC236}">
              <a16:creationId xmlns:a16="http://schemas.microsoft.com/office/drawing/2014/main" id="{BA37C936-E12D-4AA0-8E8C-25AB75833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9525" cy="9525"/>
    <xdr:pic>
      <xdr:nvPicPr>
        <xdr:cNvPr id="91" name="Picture 90">
          <a:extLst>
            <a:ext uri="{FF2B5EF4-FFF2-40B4-BE49-F238E27FC236}">
              <a16:creationId xmlns:a16="http://schemas.microsoft.com/office/drawing/2014/main" id="{00BACA48-669E-482F-BE94-B9A1453B8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9525" cy="9525"/>
    <xdr:pic>
      <xdr:nvPicPr>
        <xdr:cNvPr id="92" name="Picture 91">
          <a:extLst>
            <a:ext uri="{FF2B5EF4-FFF2-40B4-BE49-F238E27FC236}">
              <a16:creationId xmlns:a16="http://schemas.microsoft.com/office/drawing/2014/main" id="{4B93AE02-0054-4FF4-BC58-3339E44A4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9525" cy="9525"/>
    <xdr:pic>
      <xdr:nvPicPr>
        <xdr:cNvPr id="93" name="Picture 92">
          <a:extLst>
            <a:ext uri="{FF2B5EF4-FFF2-40B4-BE49-F238E27FC236}">
              <a16:creationId xmlns:a16="http://schemas.microsoft.com/office/drawing/2014/main" id="{6E67B0B1-8A0F-4F88-A0FE-F25B0CA86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9525" cy="9525"/>
    <xdr:pic>
      <xdr:nvPicPr>
        <xdr:cNvPr id="94" name="Picture 93">
          <a:extLst>
            <a:ext uri="{FF2B5EF4-FFF2-40B4-BE49-F238E27FC236}">
              <a16:creationId xmlns:a16="http://schemas.microsoft.com/office/drawing/2014/main" id="{60926B2B-ED28-4D4C-A80A-07E11FDF4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9525" cy="9525"/>
    <xdr:pic>
      <xdr:nvPicPr>
        <xdr:cNvPr id="95" name="Picture 94">
          <a:extLst>
            <a:ext uri="{FF2B5EF4-FFF2-40B4-BE49-F238E27FC236}">
              <a16:creationId xmlns:a16="http://schemas.microsoft.com/office/drawing/2014/main" id="{CF3974EF-1047-461B-8E84-EE90B1AB0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9525" cy="9525"/>
    <xdr:pic>
      <xdr:nvPicPr>
        <xdr:cNvPr id="96" name="Picture 95">
          <a:extLst>
            <a:ext uri="{FF2B5EF4-FFF2-40B4-BE49-F238E27FC236}">
              <a16:creationId xmlns:a16="http://schemas.microsoft.com/office/drawing/2014/main" id="{456F4EB6-364B-43CA-9988-2776A68F1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9525" cy="9525"/>
    <xdr:pic>
      <xdr:nvPicPr>
        <xdr:cNvPr id="97" name="Picture 96">
          <a:extLst>
            <a:ext uri="{FF2B5EF4-FFF2-40B4-BE49-F238E27FC236}">
              <a16:creationId xmlns:a16="http://schemas.microsoft.com/office/drawing/2014/main" id="{5FD01295-D872-4769-A5B6-69C817B53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98" name="Picture 97">
          <a:extLst>
            <a:ext uri="{FF2B5EF4-FFF2-40B4-BE49-F238E27FC236}">
              <a16:creationId xmlns:a16="http://schemas.microsoft.com/office/drawing/2014/main" id="{BD0AD2F9-3D9C-49B3-8C25-5730B5E9A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99" name="Picture 98">
          <a:extLst>
            <a:ext uri="{FF2B5EF4-FFF2-40B4-BE49-F238E27FC236}">
              <a16:creationId xmlns:a16="http://schemas.microsoft.com/office/drawing/2014/main" id="{B04C0685-D124-4BB3-8DD7-D74E9E985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100" name="Picture 99">
          <a:extLst>
            <a:ext uri="{FF2B5EF4-FFF2-40B4-BE49-F238E27FC236}">
              <a16:creationId xmlns:a16="http://schemas.microsoft.com/office/drawing/2014/main" id="{EB639D96-F4CC-45C8-993A-19D829895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101" name="Picture 100">
          <a:extLst>
            <a:ext uri="{FF2B5EF4-FFF2-40B4-BE49-F238E27FC236}">
              <a16:creationId xmlns:a16="http://schemas.microsoft.com/office/drawing/2014/main" id="{61C189F6-FDB6-436C-A6A5-A41C92DB8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30</xdr:row>
      <xdr:rowOff>0</xdr:rowOff>
    </xdr:from>
    <xdr:ext cx="9525" cy="9525"/>
    <xdr:pic>
      <xdr:nvPicPr>
        <xdr:cNvPr id="102" name="Picture 101">
          <a:extLst>
            <a:ext uri="{FF2B5EF4-FFF2-40B4-BE49-F238E27FC236}">
              <a16:creationId xmlns:a16="http://schemas.microsoft.com/office/drawing/2014/main" id="{61C09E02-A28E-4062-9CBC-810E11214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28803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30</xdr:row>
      <xdr:rowOff>0</xdr:rowOff>
    </xdr:from>
    <xdr:ext cx="9525" cy="9525"/>
    <xdr:pic>
      <xdr:nvPicPr>
        <xdr:cNvPr id="103" name="Picture 102">
          <a:extLst>
            <a:ext uri="{FF2B5EF4-FFF2-40B4-BE49-F238E27FC236}">
              <a16:creationId xmlns:a16="http://schemas.microsoft.com/office/drawing/2014/main" id="{BB293358-EF36-47A3-8335-6CC87928C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28803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29</xdr:row>
      <xdr:rowOff>0</xdr:rowOff>
    </xdr:from>
    <xdr:ext cx="9525" cy="9525"/>
    <xdr:pic>
      <xdr:nvPicPr>
        <xdr:cNvPr id="104" name="Picture 103">
          <a:extLst>
            <a:ext uri="{FF2B5EF4-FFF2-40B4-BE49-F238E27FC236}">
              <a16:creationId xmlns:a16="http://schemas.microsoft.com/office/drawing/2014/main" id="{A44E46AF-33B0-4C7E-AA07-5439D2AA6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8960" y="27203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29</xdr:row>
      <xdr:rowOff>0</xdr:rowOff>
    </xdr:from>
    <xdr:ext cx="9525" cy="9525"/>
    <xdr:pic>
      <xdr:nvPicPr>
        <xdr:cNvPr id="105" name="Picture 104">
          <a:extLst>
            <a:ext uri="{FF2B5EF4-FFF2-40B4-BE49-F238E27FC236}">
              <a16:creationId xmlns:a16="http://schemas.microsoft.com/office/drawing/2014/main" id="{5906582F-CB4D-4195-BF09-A851C94B5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8960" y="27203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32</xdr:row>
      <xdr:rowOff>0</xdr:rowOff>
    </xdr:from>
    <xdr:ext cx="9525" cy="9525"/>
    <xdr:pic>
      <xdr:nvPicPr>
        <xdr:cNvPr id="106" name="Picture 105">
          <a:extLst>
            <a:ext uri="{FF2B5EF4-FFF2-40B4-BE49-F238E27FC236}">
              <a16:creationId xmlns:a16="http://schemas.microsoft.com/office/drawing/2014/main" id="{15909E3B-9285-4FF7-8F27-455A594E5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20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32</xdr:row>
      <xdr:rowOff>0</xdr:rowOff>
    </xdr:from>
    <xdr:ext cx="9525" cy="9525"/>
    <xdr:pic>
      <xdr:nvPicPr>
        <xdr:cNvPr id="107" name="Picture 106">
          <a:extLst>
            <a:ext uri="{FF2B5EF4-FFF2-40B4-BE49-F238E27FC236}">
              <a16:creationId xmlns:a16="http://schemas.microsoft.com/office/drawing/2014/main" id="{EB0C10DE-A03E-4752-8032-5D885E2D6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20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9525" cy="9525"/>
    <xdr:pic>
      <xdr:nvPicPr>
        <xdr:cNvPr id="108" name="Picture 107">
          <a:extLst>
            <a:ext uri="{FF2B5EF4-FFF2-40B4-BE49-F238E27FC236}">
              <a16:creationId xmlns:a16="http://schemas.microsoft.com/office/drawing/2014/main" id="{9E1ABD09-D4F2-49D2-8DEF-EB0ABC65B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3604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9525" cy="9525"/>
    <xdr:pic>
      <xdr:nvPicPr>
        <xdr:cNvPr id="109" name="Picture 108">
          <a:extLst>
            <a:ext uri="{FF2B5EF4-FFF2-40B4-BE49-F238E27FC236}">
              <a16:creationId xmlns:a16="http://schemas.microsoft.com/office/drawing/2014/main" id="{62761278-9ADE-4AB3-B11A-927129988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3604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34</xdr:row>
      <xdr:rowOff>0</xdr:rowOff>
    </xdr:from>
    <xdr:ext cx="9525" cy="9525"/>
    <xdr:pic>
      <xdr:nvPicPr>
        <xdr:cNvPr id="110" name="Picture 109">
          <a:extLst>
            <a:ext uri="{FF2B5EF4-FFF2-40B4-BE49-F238E27FC236}">
              <a16:creationId xmlns:a16="http://schemas.microsoft.com/office/drawing/2014/main" id="{ED709FF5-A093-4D0C-9284-7EC99E4C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5204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34</xdr:row>
      <xdr:rowOff>0</xdr:rowOff>
    </xdr:from>
    <xdr:ext cx="9525" cy="9525"/>
    <xdr:pic>
      <xdr:nvPicPr>
        <xdr:cNvPr id="111" name="Picture 110">
          <a:extLst>
            <a:ext uri="{FF2B5EF4-FFF2-40B4-BE49-F238E27FC236}">
              <a16:creationId xmlns:a16="http://schemas.microsoft.com/office/drawing/2014/main" id="{6D22F4FE-045C-4B9E-9F11-173F9601E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5204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9525" cy="9525"/>
    <xdr:pic>
      <xdr:nvPicPr>
        <xdr:cNvPr id="112" name="Picture 111">
          <a:extLst>
            <a:ext uri="{FF2B5EF4-FFF2-40B4-BE49-F238E27FC236}">
              <a16:creationId xmlns:a16="http://schemas.microsoft.com/office/drawing/2014/main" id="{C5D4FA86-BCB6-43C7-A8F4-41FB9685F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6804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9525" cy="9525"/>
    <xdr:pic>
      <xdr:nvPicPr>
        <xdr:cNvPr id="113" name="Picture 112">
          <a:extLst>
            <a:ext uri="{FF2B5EF4-FFF2-40B4-BE49-F238E27FC236}">
              <a16:creationId xmlns:a16="http://schemas.microsoft.com/office/drawing/2014/main" id="{70A05E36-B486-46CF-B78E-6470A526C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6804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0</xdr:rowOff>
    </xdr:from>
    <xdr:ext cx="9525" cy="9525"/>
    <xdr:pic>
      <xdr:nvPicPr>
        <xdr:cNvPr id="114" name="Picture 113">
          <a:extLst>
            <a:ext uri="{FF2B5EF4-FFF2-40B4-BE49-F238E27FC236}">
              <a16:creationId xmlns:a16="http://schemas.microsoft.com/office/drawing/2014/main" id="{CAE5C79E-7E5B-4760-9FC2-3BEBA7153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8404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0</xdr:rowOff>
    </xdr:from>
    <xdr:ext cx="9525" cy="9525"/>
    <xdr:pic>
      <xdr:nvPicPr>
        <xdr:cNvPr id="115" name="Picture 114">
          <a:extLst>
            <a:ext uri="{FF2B5EF4-FFF2-40B4-BE49-F238E27FC236}">
              <a16:creationId xmlns:a16="http://schemas.microsoft.com/office/drawing/2014/main" id="{796224DB-F47B-4C07-8F5E-D2BF5618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8404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16" name="Picture 115">
          <a:extLst>
            <a:ext uri="{FF2B5EF4-FFF2-40B4-BE49-F238E27FC236}">
              <a16:creationId xmlns:a16="http://schemas.microsoft.com/office/drawing/2014/main" id="{F866E79F-CB18-4240-B26D-781A69CE1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17" name="Picture 116">
          <a:extLst>
            <a:ext uri="{FF2B5EF4-FFF2-40B4-BE49-F238E27FC236}">
              <a16:creationId xmlns:a16="http://schemas.microsoft.com/office/drawing/2014/main" id="{7C8A2DB7-4AEE-4F60-A6E2-C8147DBA5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18" name="Picture 117">
          <a:extLst>
            <a:ext uri="{FF2B5EF4-FFF2-40B4-BE49-F238E27FC236}">
              <a16:creationId xmlns:a16="http://schemas.microsoft.com/office/drawing/2014/main" id="{EEB75F6F-060B-4909-A743-1EDD5A40B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19" name="Picture 118">
          <a:extLst>
            <a:ext uri="{FF2B5EF4-FFF2-40B4-BE49-F238E27FC236}">
              <a16:creationId xmlns:a16="http://schemas.microsoft.com/office/drawing/2014/main" id="{E0BAAE78-DAB5-4643-B559-1AB051FA0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9525" cy="9525"/>
    <xdr:pic>
      <xdr:nvPicPr>
        <xdr:cNvPr id="120" name="Picture 119">
          <a:extLst>
            <a:ext uri="{FF2B5EF4-FFF2-40B4-BE49-F238E27FC236}">
              <a16:creationId xmlns:a16="http://schemas.microsoft.com/office/drawing/2014/main" id="{847FAEC6-4317-403F-AD91-D1C771DF8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3604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9525" cy="9525"/>
    <xdr:pic>
      <xdr:nvPicPr>
        <xdr:cNvPr id="121" name="Picture 120">
          <a:extLst>
            <a:ext uri="{FF2B5EF4-FFF2-40B4-BE49-F238E27FC236}">
              <a16:creationId xmlns:a16="http://schemas.microsoft.com/office/drawing/2014/main" id="{6A3F99BC-40A1-42A6-B485-3657ED27C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3604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34</xdr:row>
      <xdr:rowOff>0</xdr:rowOff>
    </xdr:from>
    <xdr:ext cx="9525" cy="9525"/>
    <xdr:pic>
      <xdr:nvPicPr>
        <xdr:cNvPr id="122" name="Picture 121">
          <a:extLst>
            <a:ext uri="{FF2B5EF4-FFF2-40B4-BE49-F238E27FC236}">
              <a16:creationId xmlns:a16="http://schemas.microsoft.com/office/drawing/2014/main" id="{90C76A04-4800-44D1-BF1B-DC2108C99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5204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9525" cy="9525"/>
    <xdr:pic>
      <xdr:nvPicPr>
        <xdr:cNvPr id="123" name="Picture 122">
          <a:extLst>
            <a:ext uri="{FF2B5EF4-FFF2-40B4-BE49-F238E27FC236}">
              <a16:creationId xmlns:a16="http://schemas.microsoft.com/office/drawing/2014/main" id="{A5D3B2B1-CAC4-4519-BC80-C19AF2CF4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6804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9525" cy="9525"/>
    <xdr:pic>
      <xdr:nvPicPr>
        <xdr:cNvPr id="124" name="Picture 123">
          <a:extLst>
            <a:ext uri="{FF2B5EF4-FFF2-40B4-BE49-F238E27FC236}">
              <a16:creationId xmlns:a16="http://schemas.microsoft.com/office/drawing/2014/main" id="{EAE5839F-428E-4E08-9023-81631132B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6804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0</xdr:rowOff>
    </xdr:from>
    <xdr:ext cx="9525" cy="9525"/>
    <xdr:pic>
      <xdr:nvPicPr>
        <xdr:cNvPr id="125" name="Picture 124">
          <a:extLst>
            <a:ext uri="{FF2B5EF4-FFF2-40B4-BE49-F238E27FC236}">
              <a16:creationId xmlns:a16="http://schemas.microsoft.com/office/drawing/2014/main" id="{70E07EC0-B141-40C5-B607-802034C95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8404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26" name="Picture 125">
          <a:extLst>
            <a:ext uri="{FF2B5EF4-FFF2-40B4-BE49-F238E27FC236}">
              <a16:creationId xmlns:a16="http://schemas.microsoft.com/office/drawing/2014/main" id="{60AC9B5C-5DC9-4096-A1E7-B0390B681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27" name="Picture 126">
          <a:extLst>
            <a:ext uri="{FF2B5EF4-FFF2-40B4-BE49-F238E27FC236}">
              <a16:creationId xmlns:a16="http://schemas.microsoft.com/office/drawing/2014/main" id="{B46FB487-F9FF-488E-B210-ECEEE7AEF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30</xdr:row>
      <xdr:rowOff>0</xdr:rowOff>
    </xdr:from>
    <xdr:ext cx="9525" cy="9525"/>
    <xdr:pic>
      <xdr:nvPicPr>
        <xdr:cNvPr id="128" name="Picture 127">
          <a:extLst>
            <a:ext uri="{FF2B5EF4-FFF2-40B4-BE49-F238E27FC236}">
              <a16:creationId xmlns:a16="http://schemas.microsoft.com/office/drawing/2014/main" id="{F4A1F12A-DCC5-4F20-9345-453D1ED63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28803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30</xdr:row>
      <xdr:rowOff>0</xdr:rowOff>
    </xdr:from>
    <xdr:ext cx="9525" cy="9525"/>
    <xdr:pic>
      <xdr:nvPicPr>
        <xdr:cNvPr id="129" name="Picture 128">
          <a:extLst>
            <a:ext uri="{FF2B5EF4-FFF2-40B4-BE49-F238E27FC236}">
              <a16:creationId xmlns:a16="http://schemas.microsoft.com/office/drawing/2014/main" id="{2F6A927B-2E06-4593-89FE-202AF196D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28803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31</xdr:row>
      <xdr:rowOff>0</xdr:rowOff>
    </xdr:from>
    <xdr:ext cx="9525" cy="9525"/>
    <xdr:pic>
      <xdr:nvPicPr>
        <xdr:cNvPr id="130" name="Picture 129">
          <a:extLst>
            <a:ext uri="{FF2B5EF4-FFF2-40B4-BE49-F238E27FC236}">
              <a16:creationId xmlns:a16="http://schemas.microsoft.com/office/drawing/2014/main" id="{9416CEE5-12B6-4725-AD63-FA28E3EE5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0403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31</xdr:row>
      <xdr:rowOff>0</xdr:rowOff>
    </xdr:from>
    <xdr:ext cx="9525" cy="9525"/>
    <xdr:pic>
      <xdr:nvPicPr>
        <xdr:cNvPr id="131" name="Picture 130">
          <a:extLst>
            <a:ext uri="{FF2B5EF4-FFF2-40B4-BE49-F238E27FC236}">
              <a16:creationId xmlns:a16="http://schemas.microsoft.com/office/drawing/2014/main" id="{E8D85697-71D7-4F0A-8D56-C13D02119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0403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31</xdr:row>
      <xdr:rowOff>0</xdr:rowOff>
    </xdr:from>
    <xdr:ext cx="9525" cy="9525"/>
    <xdr:pic>
      <xdr:nvPicPr>
        <xdr:cNvPr id="132" name="Picture 131">
          <a:extLst>
            <a:ext uri="{FF2B5EF4-FFF2-40B4-BE49-F238E27FC236}">
              <a16:creationId xmlns:a16="http://schemas.microsoft.com/office/drawing/2014/main" id="{66B9E1AB-3262-4CA4-9393-E96699BFB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0403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31</xdr:row>
      <xdr:rowOff>0</xdr:rowOff>
    </xdr:from>
    <xdr:ext cx="9525" cy="9525"/>
    <xdr:pic>
      <xdr:nvPicPr>
        <xdr:cNvPr id="133" name="Picture 132">
          <a:extLst>
            <a:ext uri="{FF2B5EF4-FFF2-40B4-BE49-F238E27FC236}">
              <a16:creationId xmlns:a16="http://schemas.microsoft.com/office/drawing/2014/main" id="{F90E2B4C-E4C5-403E-97A7-ABB9724C1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9606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32</xdr:row>
      <xdr:rowOff>0</xdr:rowOff>
    </xdr:from>
    <xdr:ext cx="9525" cy="9525"/>
    <xdr:pic>
      <xdr:nvPicPr>
        <xdr:cNvPr id="134" name="Picture 133">
          <a:extLst>
            <a:ext uri="{FF2B5EF4-FFF2-40B4-BE49-F238E27FC236}">
              <a16:creationId xmlns:a16="http://schemas.microsoft.com/office/drawing/2014/main" id="{47A9DB4A-2338-4E16-9581-2BE164DC4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20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32</xdr:row>
      <xdr:rowOff>0</xdr:rowOff>
    </xdr:from>
    <xdr:ext cx="9525" cy="9525"/>
    <xdr:pic>
      <xdr:nvPicPr>
        <xdr:cNvPr id="135" name="Picture 134">
          <a:extLst>
            <a:ext uri="{FF2B5EF4-FFF2-40B4-BE49-F238E27FC236}">
              <a16:creationId xmlns:a16="http://schemas.microsoft.com/office/drawing/2014/main" id="{861ABA29-EC97-4CD1-931B-49368690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20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32</xdr:row>
      <xdr:rowOff>0</xdr:rowOff>
    </xdr:from>
    <xdr:ext cx="9525" cy="9525"/>
    <xdr:pic>
      <xdr:nvPicPr>
        <xdr:cNvPr id="136" name="Picture 135">
          <a:extLst>
            <a:ext uri="{FF2B5EF4-FFF2-40B4-BE49-F238E27FC236}">
              <a16:creationId xmlns:a16="http://schemas.microsoft.com/office/drawing/2014/main" id="{29A02378-5742-4B17-A543-F942E9557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20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32</xdr:row>
      <xdr:rowOff>0</xdr:rowOff>
    </xdr:from>
    <xdr:ext cx="9525" cy="9525"/>
    <xdr:pic>
      <xdr:nvPicPr>
        <xdr:cNvPr id="137" name="Picture 136">
          <a:extLst>
            <a:ext uri="{FF2B5EF4-FFF2-40B4-BE49-F238E27FC236}">
              <a16:creationId xmlns:a16="http://schemas.microsoft.com/office/drawing/2014/main" id="{5EFDD6AC-4A6D-40EF-889F-E93D9208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20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9525" cy="9525"/>
    <xdr:pic>
      <xdr:nvPicPr>
        <xdr:cNvPr id="138" name="Picture 137">
          <a:extLst>
            <a:ext uri="{FF2B5EF4-FFF2-40B4-BE49-F238E27FC236}">
              <a16:creationId xmlns:a16="http://schemas.microsoft.com/office/drawing/2014/main" id="{17AA6AE4-87FF-4FC9-8427-037285C0F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3604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9525" cy="9525"/>
    <xdr:pic>
      <xdr:nvPicPr>
        <xdr:cNvPr id="139" name="Picture 138">
          <a:extLst>
            <a:ext uri="{FF2B5EF4-FFF2-40B4-BE49-F238E27FC236}">
              <a16:creationId xmlns:a16="http://schemas.microsoft.com/office/drawing/2014/main" id="{0F20C520-EADA-47C5-B771-FE1EC6D04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3604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9525" cy="9525"/>
    <xdr:pic>
      <xdr:nvPicPr>
        <xdr:cNvPr id="140" name="Picture 139">
          <a:extLst>
            <a:ext uri="{FF2B5EF4-FFF2-40B4-BE49-F238E27FC236}">
              <a16:creationId xmlns:a16="http://schemas.microsoft.com/office/drawing/2014/main" id="{DDACBEF9-FB9C-4ED8-9D59-0E170B15C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3604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9525" cy="9525"/>
    <xdr:pic>
      <xdr:nvPicPr>
        <xdr:cNvPr id="141" name="Picture 140">
          <a:extLst>
            <a:ext uri="{FF2B5EF4-FFF2-40B4-BE49-F238E27FC236}">
              <a16:creationId xmlns:a16="http://schemas.microsoft.com/office/drawing/2014/main" id="{2258623F-CB0B-4634-8F50-2F35C2D89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3604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34</xdr:row>
      <xdr:rowOff>0</xdr:rowOff>
    </xdr:from>
    <xdr:ext cx="9525" cy="9525"/>
    <xdr:pic>
      <xdr:nvPicPr>
        <xdr:cNvPr id="142" name="Picture 141">
          <a:extLst>
            <a:ext uri="{FF2B5EF4-FFF2-40B4-BE49-F238E27FC236}">
              <a16:creationId xmlns:a16="http://schemas.microsoft.com/office/drawing/2014/main" id="{534CAE82-22B0-4357-AAF4-2A3A72195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5204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34</xdr:row>
      <xdr:rowOff>0</xdr:rowOff>
    </xdr:from>
    <xdr:ext cx="9525" cy="9525"/>
    <xdr:pic>
      <xdr:nvPicPr>
        <xdr:cNvPr id="143" name="Picture 142">
          <a:extLst>
            <a:ext uri="{FF2B5EF4-FFF2-40B4-BE49-F238E27FC236}">
              <a16:creationId xmlns:a16="http://schemas.microsoft.com/office/drawing/2014/main" id="{2FCD89B2-346A-4125-BA1A-5F8930B90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5204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34</xdr:row>
      <xdr:rowOff>0</xdr:rowOff>
    </xdr:from>
    <xdr:ext cx="9525" cy="9525"/>
    <xdr:pic>
      <xdr:nvPicPr>
        <xdr:cNvPr id="144" name="Picture 143">
          <a:extLst>
            <a:ext uri="{FF2B5EF4-FFF2-40B4-BE49-F238E27FC236}">
              <a16:creationId xmlns:a16="http://schemas.microsoft.com/office/drawing/2014/main" id="{AF82A1C8-20F6-418C-A085-F8FEB8B4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5204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34</xdr:row>
      <xdr:rowOff>0</xdr:rowOff>
    </xdr:from>
    <xdr:ext cx="9525" cy="9525"/>
    <xdr:pic>
      <xdr:nvPicPr>
        <xdr:cNvPr id="145" name="Picture 144">
          <a:extLst>
            <a:ext uri="{FF2B5EF4-FFF2-40B4-BE49-F238E27FC236}">
              <a16:creationId xmlns:a16="http://schemas.microsoft.com/office/drawing/2014/main" id="{B0990B2D-D609-431A-9E1D-9760DC6AE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5204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9525" cy="9525"/>
    <xdr:pic>
      <xdr:nvPicPr>
        <xdr:cNvPr id="146" name="Picture 145">
          <a:extLst>
            <a:ext uri="{FF2B5EF4-FFF2-40B4-BE49-F238E27FC236}">
              <a16:creationId xmlns:a16="http://schemas.microsoft.com/office/drawing/2014/main" id="{95E5363F-5A6C-4251-BD8E-32169FDA2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6804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9525" cy="9525"/>
    <xdr:pic>
      <xdr:nvPicPr>
        <xdr:cNvPr id="147" name="Picture 146">
          <a:extLst>
            <a:ext uri="{FF2B5EF4-FFF2-40B4-BE49-F238E27FC236}">
              <a16:creationId xmlns:a16="http://schemas.microsoft.com/office/drawing/2014/main" id="{6681C62D-070D-46B2-A93A-5241AEFB1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6804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9525" cy="9525"/>
    <xdr:pic>
      <xdr:nvPicPr>
        <xdr:cNvPr id="148" name="Picture 147">
          <a:extLst>
            <a:ext uri="{FF2B5EF4-FFF2-40B4-BE49-F238E27FC236}">
              <a16:creationId xmlns:a16="http://schemas.microsoft.com/office/drawing/2014/main" id="{1D81AD5A-7A31-4069-B5D5-83EC8F200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6804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9525" cy="9525"/>
    <xdr:pic>
      <xdr:nvPicPr>
        <xdr:cNvPr id="149" name="Picture 148">
          <a:extLst>
            <a:ext uri="{FF2B5EF4-FFF2-40B4-BE49-F238E27FC236}">
              <a16:creationId xmlns:a16="http://schemas.microsoft.com/office/drawing/2014/main" id="{100E5D82-FFA3-4138-9462-4BD26400B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6804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0</xdr:rowOff>
    </xdr:from>
    <xdr:ext cx="9525" cy="9525"/>
    <xdr:pic>
      <xdr:nvPicPr>
        <xdr:cNvPr id="150" name="Picture 149">
          <a:extLst>
            <a:ext uri="{FF2B5EF4-FFF2-40B4-BE49-F238E27FC236}">
              <a16:creationId xmlns:a16="http://schemas.microsoft.com/office/drawing/2014/main" id="{D8ED3463-301D-44A8-A4AF-A0DD151BB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8404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0</xdr:rowOff>
    </xdr:from>
    <xdr:ext cx="9525" cy="9525"/>
    <xdr:pic>
      <xdr:nvPicPr>
        <xdr:cNvPr id="151" name="Picture 150">
          <a:extLst>
            <a:ext uri="{FF2B5EF4-FFF2-40B4-BE49-F238E27FC236}">
              <a16:creationId xmlns:a16="http://schemas.microsoft.com/office/drawing/2014/main" id="{45A81693-F321-4CBB-AB33-00182BACF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8404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0</xdr:rowOff>
    </xdr:from>
    <xdr:ext cx="9525" cy="9525"/>
    <xdr:pic>
      <xdr:nvPicPr>
        <xdr:cNvPr id="152" name="Picture 151">
          <a:extLst>
            <a:ext uri="{FF2B5EF4-FFF2-40B4-BE49-F238E27FC236}">
              <a16:creationId xmlns:a16="http://schemas.microsoft.com/office/drawing/2014/main" id="{D06BAE44-B23C-4DEE-A633-6C8E2583F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8404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0</xdr:rowOff>
    </xdr:from>
    <xdr:ext cx="9525" cy="9525"/>
    <xdr:pic>
      <xdr:nvPicPr>
        <xdr:cNvPr id="153" name="Picture 152">
          <a:extLst>
            <a:ext uri="{FF2B5EF4-FFF2-40B4-BE49-F238E27FC236}">
              <a16:creationId xmlns:a16="http://schemas.microsoft.com/office/drawing/2014/main" id="{8DFF696B-3765-4417-B1CF-336F69117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8404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54" name="Picture 153">
          <a:extLst>
            <a:ext uri="{FF2B5EF4-FFF2-40B4-BE49-F238E27FC236}">
              <a16:creationId xmlns:a16="http://schemas.microsoft.com/office/drawing/2014/main" id="{1E6C4A09-05AD-4A98-A3B0-87E46330D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55" name="Picture 154">
          <a:extLst>
            <a:ext uri="{FF2B5EF4-FFF2-40B4-BE49-F238E27FC236}">
              <a16:creationId xmlns:a16="http://schemas.microsoft.com/office/drawing/2014/main" id="{DCF77483-2414-4D26-AA0C-08AF8CBBB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56" name="Picture 155">
          <a:extLst>
            <a:ext uri="{FF2B5EF4-FFF2-40B4-BE49-F238E27FC236}">
              <a16:creationId xmlns:a16="http://schemas.microsoft.com/office/drawing/2014/main" id="{21FBE9BC-18EB-486F-B5F5-CB9CDDB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57" name="Picture 156">
          <a:extLst>
            <a:ext uri="{FF2B5EF4-FFF2-40B4-BE49-F238E27FC236}">
              <a16:creationId xmlns:a16="http://schemas.microsoft.com/office/drawing/2014/main" id="{2B3546E0-90F2-4723-BB0C-AE15A0467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31" name="Picture 30">
          <a:extLst>
            <a:ext uri="{FF2B5EF4-FFF2-40B4-BE49-F238E27FC236}">
              <a16:creationId xmlns:a16="http://schemas.microsoft.com/office/drawing/2014/main" id="{0E0A34F3-89BC-4681-A267-0EC37A7F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800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33" name="Picture 32">
          <a:extLst>
            <a:ext uri="{FF2B5EF4-FFF2-40B4-BE49-F238E27FC236}">
              <a16:creationId xmlns:a16="http://schemas.microsoft.com/office/drawing/2014/main" id="{9870AE93-937B-435E-BC60-EAF3B658C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800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42</xdr:row>
      <xdr:rowOff>0</xdr:rowOff>
    </xdr:from>
    <xdr:ext cx="9525" cy="9525"/>
    <xdr:pic>
      <xdr:nvPicPr>
        <xdr:cNvPr id="35" name="Picture 34">
          <a:extLst>
            <a:ext uri="{FF2B5EF4-FFF2-40B4-BE49-F238E27FC236}">
              <a16:creationId xmlns:a16="http://schemas.microsoft.com/office/drawing/2014/main" id="{1F287D1F-E833-41B9-8BFA-9DCBC987A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8960" y="46405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42</xdr:row>
      <xdr:rowOff>0</xdr:rowOff>
    </xdr:from>
    <xdr:ext cx="9525" cy="9525"/>
    <xdr:pic>
      <xdr:nvPicPr>
        <xdr:cNvPr id="36" name="Picture 35">
          <a:extLst>
            <a:ext uri="{FF2B5EF4-FFF2-40B4-BE49-F238E27FC236}">
              <a16:creationId xmlns:a16="http://schemas.microsoft.com/office/drawing/2014/main" id="{2476569D-246B-45C5-A170-E38747CB2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8960" y="46405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37" name="Picture 36">
          <a:extLst>
            <a:ext uri="{FF2B5EF4-FFF2-40B4-BE49-F238E27FC236}">
              <a16:creationId xmlns:a16="http://schemas.microsoft.com/office/drawing/2014/main" id="{E7E817BE-3039-4EE9-8D11-68B10F277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1206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42" name="Picture 41">
          <a:extLst>
            <a:ext uri="{FF2B5EF4-FFF2-40B4-BE49-F238E27FC236}">
              <a16:creationId xmlns:a16="http://schemas.microsoft.com/office/drawing/2014/main" id="{C91B6156-1334-4E52-B6B1-AEE3512FE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1206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43" name="Picture 42">
          <a:extLst>
            <a:ext uri="{FF2B5EF4-FFF2-40B4-BE49-F238E27FC236}">
              <a16:creationId xmlns:a16="http://schemas.microsoft.com/office/drawing/2014/main" id="{2D1478C4-A3BB-42F8-BEA5-1E1E9A642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2806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58" name="Picture 57">
          <a:extLst>
            <a:ext uri="{FF2B5EF4-FFF2-40B4-BE49-F238E27FC236}">
              <a16:creationId xmlns:a16="http://schemas.microsoft.com/office/drawing/2014/main" id="{5DE0575C-6A94-40F4-82EC-AB234DEB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2806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59" name="Picture 58">
          <a:extLst>
            <a:ext uri="{FF2B5EF4-FFF2-40B4-BE49-F238E27FC236}">
              <a16:creationId xmlns:a16="http://schemas.microsoft.com/office/drawing/2014/main" id="{0E5E0CEC-8ADD-43A8-933F-8CB3F0CBD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4406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60" name="Picture 59">
          <a:extLst>
            <a:ext uri="{FF2B5EF4-FFF2-40B4-BE49-F238E27FC236}">
              <a16:creationId xmlns:a16="http://schemas.microsoft.com/office/drawing/2014/main" id="{DBAD6419-7C0E-4AE2-A3E6-39035FD06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4406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61" name="Picture 60">
          <a:extLst>
            <a:ext uri="{FF2B5EF4-FFF2-40B4-BE49-F238E27FC236}">
              <a16:creationId xmlns:a16="http://schemas.microsoft.com/office/drawing/2014/main" id="{3597CAF3-1EF9-43F7-8DC0-888A5A1BE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600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65" name="Picture 64">
          <a:extLst>
            <a:ext uri="{FF2B5EF4-FFF2-40B4-BE49-F238E27FC236}">
              <a16:creationId xmlns:a16="http://schemas.microsoft.com/office/drawing/2014/main" id="{6CCDB394-2B7E-41A0-BF07-10BAD0CBE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600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69" name="Picture 68">
          <a:extLst>
            <a:ext uri="{FF2B5EF4-FFF2-40B4-BE49-F238E27FC236}">
              <a16:creationId xmlns:a16="http://schemas.microsoft.com/office/drawing/2014/main" id="{ADDC912F-A622-4D21-8A6F-6507B7034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7607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158" name="Picture 157">
          <a:extLst>
            <a:ext uri="{FF2B5EF4-FFF2-40B4-BE49-F238E27FC236}">
              <a16:creationId xmlns:a16="http://schemas.microsoft.com/office/drawing/2014/main" id="{87E8321E-620A-4DC1-88C8-86F284430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7607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59" name="Picture 158">
          <a:extLst>
            <a:ext uri="{FF2B5EF4-FFF2-40B4-BE49-F238E27FC236}">
              <a16:creationId xmlns:a16="http://schemas.microsoft.com/office/drawing/2014/main" id="{FEB3E880-5522-49E3-8A1C-338EA4DCB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60" name="Picture 159">
          <a:extLst>
            <a:ext uri="{FF2B5EF4-FFF2-40B4-BE49-F238E27FC236}">
              <a16:creationId xmlns:a16="http://schemas.microsoft.com/office/drawing/2014/main" id="{A6C170D0-F8D1-448F-B9CF-F040C0EDB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61" name="Picture 160">
          <a:extLst>
            <a:ext uri="{FF2B5EF4-FFF2-40B4-BE49-F238E27FC236}">
              <a16:creationId xmlns:a16="http://schemas.microsoft.com/office/drawing/2014/main" id="{7D1018B7-5AEB-44BE-8A06-80B44FDB4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62" name="Picture 161">
          <a:extLst>
            <a:ext uri="{FF2B5EF4-FFF2-40B4-BE49-F238E27FC236}">
              <a16:creationId xmlns:a16="http://schemas.microsoft.com/office/drawing/2014/main" id="{47D9D2BF-B202-428D-8199-BF605A049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163" name="Picture 162">
          <a:extLst>
            <a:ext uri="{FF2B5EF4-FFF2-40B4-BE49-F238E27FC236}">
              <a16:creationId xmlns:a16="http://schemas.microsoft.com/office/drawing/2014/main" id="{3DFCD788-F044-4C10-AA8D-544524F8F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2806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164" name="Picture 163">
          <a:extLst>
            <a:ext uri="{FF2B5EF4-FFF2-40B4-BE49-F238E27FC236}">
              <a16:creationId xmlns:a16="http://schemas.microsoft.com/office/drawing/2014/main" id="{F011992C-5625-46D0-9DC4-220A87E8A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2806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165" name="Picture 164">
          <a:extLst>
            <a:ext uri="{FF2B5EF4-FFF2-40B4-BE49-F238E27FC236}">
              <a16:creationId xmlns:a16="http://schemas.microsoft.com/office/drawing/2014/main" id="{037A1AB5-51DC-4891-824F-3073425F1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4406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166" name="Picture 165">
          <a:extLst>
            <a:ext uri="{FF2B5EF4-FFF2-40B4-BE49-F238E27FC236}">
              <a16:creationId xmlns:a16="http://schemas.microsoft.com/office/drawing/2014/main" id="{750D830B-6F91-41DF-9835-2FC51C94B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600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167" name="Picture 166">
          <a:extLst>
            <a:ext uri="{FF2B5EF4-FFF2-40B4-BE49-F238E27FC236}">
              <a16:creationId xmlns:a16="http://schemas.microsoft.com/office/drawing/2014/main" id="{FEF0DD15-823A-4480-BD35-DF323278C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600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168" name="Picture 167">
          <a:extLst>
            <a:ext uri="{FF2B5EF4-FFF2-40B4-BE49-F238E27FC236}">
              <a16:creationId xmlns:a16="http://schemas.microsoft.com/office/drawing/2014/main" id="{7FC99AAA-28D1-42E1-8818-ED87484D2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7607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69" name="Picture 168">
          <a:extLst>
            <a:ext uri="{FF2B5EF4-FFF2-40B4-BE49-F238E27FC236}">
              <a16:creationId xmlns:a16="http://schemas.microsoft.com/office/drawing/2014/main" id="{A058DA55-977B-4952-A0A0-605F17D44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70" name="Picture 169">
          <a:extLst>
            <a:ext uri="{FF2B5EF4-FFF2-40B4-BE49-F238E27FC236}">
              <a16:creationId xmlns:a16="http://schemas.microsoft.com/office/drawing/2014/main" id="{1A57CBB9-3100-41C5-B156-5F5DDAEC7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171" name="Picture 170">
          <a:extLst>
            <a:ext uri="{FF2B5EF4-FFF2-40B4-BE49-F238E27FC236}">
              <a16:creationId xmlns:a16="http://schemas.microsoft.com/office/drawing/2014/main" id="{AC147190-C127-4151-93E6-ADBCE330F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800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172" name="Picture 171">
          <a:extLst>
            <a:ext uri="{FF2B5EF4-FFF2-40B4-BE49-F238E27FC236}">
              <a16:creationId xmlns:a16="http://schemas.microsoft.com/office/drawing/2014/main" id="{648A5E46-B481-455C-8DEB-CF2BCD2A9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800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173" name="Picture 172">
          <a:extLst>
            <a:ext uri="{FF2B5EF4-FFF2-40B4-BE49-F238E27FC236}">
              <a16:creationId xmlns:a16="http://schemas.microsoft.com/office/drawing/2014/main" id="{EDFAD07B-5BC5-457D-9BA8-98DF8079B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9606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174" name="Picture 173">
          <a:extLst>
            <a:ext uri="{FF2B5EF4-FFF2-40B4-BE49-F238E27FC236}">
              <a16:creationId xmlns:a16="http://schemas.microsoft.com/office/drawing/2014/main" id="{ABE23077-055F-4F27-90D6-F6E32D7C3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9606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175" name="Picture 174">
          <a:extLst>
            <a:ext uri="{FF2B5EF4-FFF2-40B4-BE49-F238E27FC236}">
              <a16:creationId xmlns:a16="http://schemas.microsoft.com/office/drawing/2014/main" id="{4DB6BE0A-4C55-4B89-9A25-0AE5FE7D5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9606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176" name="Picture 175">
          <a:extLst>
            <a:ext uri="{FF2B5EF4-FFF2-40B4-BE49-F238E27FC236}">
              <a16:creationId xmlns:a16="http://schemas.microsoft.com/office/drawing/2014/main" id="{630A4A02-C70D-4D4D-8979-28AC0C920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9606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177" name="Picture 176">
          <a:extLst>
            <a:ext uri="{FF2B5EF4-FFF2-40B4-BE49-F238E27FC236}">
              <a16:creationId xmlns:a16="http://schemas.microsoft.com/office/drawing/2014/main" id="{7A795029-DBE5-409B-96F3-9836EC8BE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1206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178" name="Picture 177">
          <a:extLst>
            <a:ext uri="{FF2B5EF4-FFF2-40B4-BE49-F238E27FC236}">
              <a16:creationId xmlns:a16="http://schemas.microsoft.com/office/drawing/2014/main" id="{DC14207B-1FE4-430A-9BC7-72ED5291A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1206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179" name="Picture 178">
          <a:extLst>
            <a:ext uri="{FF2B5EF4-FFF2-40B4-BE49-F238E27FC236}">
              <a16:creationId xmlns:a16="http://schemas.microsoft.com/office/drawing/2014/main" id="{82F506B7-6366-4BCD-A5A1-4493A4716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1206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180" name="Picture 179">
          <a:extLst>
            <a:ext uri="{FF2B5EF4-FFF2-40B4-BE49-F238E27FC236}">
              <a16:creationId xmlns:a16="http://schemas.microsoft.com/office/drawing/2014/main" id="{B812F136-6A62-4D00-A842-88AEA2E88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1206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181" name="Picture 180">
          <a:extLst>
            <a:ext uri="{FF2B5EF4-FFF2-40B4-BE49-F238E27FC236}">
              <a16:creationId xmlns:a16="http://schemas.microsoft.com/office/drawing/2014/main" id="{F88188AB-6091-451D-A0C4-143712C4B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2806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182" name="Picture 181">
          <a:extLst>
            <a:ext uri="{FF2B5EF4-FFF2-40B4-BE49-F238E27FC236}">
              <a16:creationId xmlns:a16="http://schemas.microsoft.com/office/drawing/2014/main" id="{415A70D4-35F8-42E3-94C4-618AE8BB7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2806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183" name="Picture 182">
          <a:extLst>
            <a:ext uri="{FF2B5EF4-FFF2-40B4-BE49-F238E27FC236}">
              <a16:creationId xmlns:a16="http://schemas.microsoft.com/office/drawing/2014/main" id="{57CDC699-2855-4F99-83FF-3C0D29FAB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2806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184" name="Picture 183">
          <a:extLst>
            <a:ext uri="{FF2B5EF4-FFF2-40B4-BE49-F238E27FC236}">
              <a16:creationId xmlns:a16="http://schemas.microsoft.com/office/drawing/2014/main" id="{B03590AE-A40F-4638-BB38-3830197E5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2806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185" name="Picture 184">
          <a:extLst>
            <a:ext uri="{FF2B5EF4-FFF2-40B4-BE49-F238E27FC236}">
              <a16:creationId xmlns:a16="http://schemas.microsoft.com/office/drawing/2014/main" id="{361CE7B5-3773-4758-A41A-09545119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4406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186" name="Picture 185">
          <a:extLst>
            <a:ext uri="{FF2B5EF4-FFF2-40B4-BE49-F238E27FC236}">
              <a16:creationId xmlns:a16="http://schemas.microsoft.com/office/drawing/2014/main" id="{3A8B449F-17F2-4EE8-8392-E0EB3FE53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4406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187" name="Picture 186">
          <a:extLst>
            <a:ext uri="{FF2B5EF4-FFF2-40B4-BE49-F238E27FC236}">
              <a16:creationId xmlns:a16="http://schemas.microsoft.com/office/drawing/2014/main" id="{04C42AD1-DFFC-4288-A533-72EF8317F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4406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188" name="Picture 187">
          <a:extLst>
            <a:ext uri="{FF2B5EF4-FFF2-40B4-BE49-F238E27FC236}">
              <a16:creationId xmlns:a16="http://schemas.microsoft.com/office/drawing/2014/main" id="{7C46DDFF-753F-4A8D-9F3E-D22456999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4406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189" name="Picture 188">
          <a:extLst>
            <a:ext uri="{FF2B5EF4-FFF2-40B4-BE49-F238E27FC236}">
              <a16:creationId xmlns:a16="http://schemas.microsoft.com/office/drawing/2014/main" id="{57776DCF-6E56-4C6E-9BDA-2ED1F53C6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600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190" name="Picture 189">
          <a:extLst>
            <a:ext uri="{FF2B5EF4-FFF2-40B4-BE49-F238E27FC236}">
              <a16:creationId xmlns:a16="http://schemas.microsoft.com/office/drawing/2014/main" id="{F3EE1AD9-C3DE-46F1-983E-87AD1C98D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600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191" name="Picture 190">
          <a:extLst>
            <a:ext uri="{FF2B5EF4-FFF2-40B4-BE49-F238E27FC236}">
              <a16:creationId xmlns:a16="http://schemas.microsoft.com/office/drawing/2014/main" id="{55F7CFF9-1DE1-447A-BB96-09312E25A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600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192" name="Picture 191">
          <a:extLst>
            <a:ext uri="{FF2B5EF4-FFF2-40B4-BE49-F238E27FC236}">
              <a16:creationId xmlns:a16="http://schemas.microsoft.com/office/drawing/2014/main" id="{F3070DA5-1831-44C3-9C60-BCD7F8E1B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600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193" name="Picture 192">
          <a:extLst>
            <a:ext uri="{FF2B5EF4-FFF2-40B4-BE49-F238E27FC236}">
              <a16:creationId xmlns:a16="http://schemas.microsoft.com/office/drawing/2014/main" id="{CF8A7B76-677D-4567-87ED-C27450EE6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7607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194" name="Picture 193">
          <a:extLst>
            <a:ext uri="{FF2B5EF4-FFF2-40B4-BE49-F238E27FC236}">
              <a16:creationId xmlns:a16="http://schemas.microsoft.com/office/drawing/2014/main" id="{AE7FDCA4-6164-49D7-9980-ACD02528E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7607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195" name="Picture 194">
          <a:extLst>
            <a:ext uri="{FF2B5EF4-FFF2-40B4-BE49-F238E27FC236}">
              <a16:creationId xmlns:a16="http://schemas.microsoft.com/office/drawing/2014/main" id="{D5C32FDE-CC2B-43CB-A94C-EBCE29B94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7607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196" name="Picture 195">
          <a:extLst>
            <a:ext uri="{FF2B5EF4-FFF2-40B4-BE49-F238E27FC236}">
              <a16:creationId xmlns:a16="http://schemas.microsoft.com/office/drawing/2014/main" id="{A4C3237E-91BE-4E9E-A6A0-B0C55314F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7607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97" name="Picture 196">
          <a:extLst>
            <a:ext uri="{FF2B5EF4-FFF2-40B4-BE49-F238E27FC236}">
              <a16:creationId xmlns:a16="http://schemas.microsoft.com/office/drawing/2014/main" id="{24978876-5877-4793-A79A-15D5ED982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98" name="Picture 197">
          <a:extLst>
            <a:ext uri="{FF2B5EF4-FFF2-40B4-BE49-F238E27FC236}">
              <a16:creationId xmlns:a16="http://schemas.microsoft.com/office/drawing/2014/main" id="{52172398-04B0-406E-8DCB-0767A53FC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99" name="Picture 198">
          <a:extLst>
            <a:ext uri="{FF2B5EF4-FFF2-40B4-BE49-F238E27FC236}">
              <a16:creationId xmlns:a16="http://schemas.microsoft.com/office/drawing/2014/main" id="{9CE48D52-A381-4195-8162-926F3E73A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200" name="Picture 199">
          <a:extLst>
            <a:ext uri="{FF2B5EF4-FFF2-40B4-BE49-F238E27FC236}">
              <a16:creationId xmlns:a16="http://schemas.microsoft.com/office/drawing/2014/main" id="{A35EA730-1BC3-4471-9F44-2C174501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1" name="Picture 200">
          <a:extLst>
            <a:ext uri="{FF2B5EF4-FFF2-40B4-BE49-F238E27FC236}">
              <a16:creationId xmlns:a16="http://schemas.microsoft.com/office/drawing/2014/main" id="{D4D7EE43-3134-4924-8A86-002CE6EC6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2" name="Picture 201">
          <a:extLst>
            <a:ext uri="{FF2B5EF4-FFF2-40B4-BE49-F238E27FC236}">
              <a16:creationId xmlns:a16="http://schemas.microsoft.com/office/drawing/2014/main" id="{C41F596D-D456-4B21-BA98-9B8987F1B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3" name="Picture 202">
          <a:extLst>
            <a:ext uri="{FF2B5EF4-FFF2-40B4-BE49-F238E27FC236}">
              <a16:creationId xmlns:a16="http://schemas.microsoft.com/office/drawing/2014/main" id="{4C646776-F5FD-41A5-A6B8-B1CC61601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4" name="Picture 203">
          <a:extLst>
            <a:ext uri="{FF2B5EF4-FFF2-40B4-BE49-F238E27FC236}">
              <a16:creationId xmlns:a16="http://schemas.microsoft.com/office/drawing/2014/main" id="{B78633BB-3F31-403B-8DEF-71B8AB9A5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5" name="Picture 204">
          <a:extLst>
            <a:ext uri="{FF2B5EF4-FFF2-40B4-BE49-F238E27FC236}">
              <a16:creationId xmlns:a16="http://schemas.microsoft.com/office/drawing/2014/main" id="{5BD43CF3-CF1C-459A-918E-578142395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6" name="Picture 205">
          <a:extLst>
            <a:ext uri="{FF2B5EF4-FFF2-40B4-BE49-F238E27FC236}">
              <a16:creationId xmlns:a16="http://schemas.microsoft.com/office/drawing/2014/main" id="{FA117CC5-A244-4E7A-99D1-61E23D7C9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7" name="Picture 206">
          <a:extLst>
            <a:ext uri="{FF2B5EF4-FFF2-40B4-BE49-F238E27FC236}">
              <a16:creationId xmlns:a16="http://schemas.microsoft.com/office/drawing/2014/main" id="{A8BD6519-4E30-4AB9-8860-3B9B8850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8" name="Picture 207">
          <a:extLst>
            <a:ext uri="{FF2B5EF4-FFF2-40B4-BE49-F238E27FC236}">
              <a16:creationId xmlns:a16="http://schemas.microsoft.com/office/drawing/2014/main" id="{357D1F27-B9D6-4E52-A745-24A7589FF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9" name="Picture 208">
          <a:extLst>
            <a:ext uri="{FF2B5EF4-FFF2-40B4-BE49-F238E27FC236}">
              <a16:creationId xmlns:a16="http://schemas.microsoft.com/office/drawing/2014/main" id="{BAB186CA-54BA-4733-B068-AE6C63600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10" name="Picture 209">
          <a:extLst>
            <a:ext uri="{FF2B5EF4-FFF2-40B4-BE49-F238E27FC236}">
              <a16:creationId xmlns:a16="http://schemas.microsoft.com/office/drawing/2014/main" id="{B2033B6D-CAB1-4BD5-ABE6-CD4B75C4F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11" name="Picture 210">
          <a:extLst>
            <a:ext uri="{FF2B5EF4-FFF2-40B4-BE49-F238E27FC236}">
              <a16:creationId xmlns:a16="http://schemas.microsoft.com/office/drawing/2014/main" id="{F35FECBE-747B-410B-A049-A21C7633B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12" name="Picture 211">
          <a:extLst>
            <a:ext uri="{FF2B5EF4-FFF2-40B4-BE49-F238E27FC236}">
              <a16:creationId xmlns:a16="http://schemas.microsoft.com/office/drawing/2014/main" id="{1DF51D00-2B09-429A-8F30-39D302BA9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13" name="Picture 212">
          <a:extLst>
            <a:ext uri="{FF2B5EF4-FFF2-40B4-BE49-F238E27FC236}">
              <a16:creationId xmlns:a16="http://schemas.microsoft.com/office/drawing/2014/main" id="{5D2B0897-DCF4-4C89-9A72-762BD3C86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14" name="Picture 213">
          <a:extLst>
            <a:ext uri="{FF2B5EF4-FFF2-40B4-BE49-F238E27FC236}">
              <a16:creationId xmlns:a16="http://schemas.microsoft.com/office/drawing/2014/main" id="{5C6C8B4C-BCA9-4143-B674-1096A0088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15" name="Picture 214">
          <a:extLst>
            <a:ext uri="{FF2B5EF4-FFF2-40B4-BE49-F238E27FC236}">
              <a16:creationId xmlns:a16="http://schemas.microsoft.com/office/drawing/2014/main" id="{ECEA7EB9-9BB6-48D0-A7A8-44D319CA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16" name="Picture 215">
          <a:extLst>
            <a:ext uri="{FF2B5EF4-FFF2-40B4-BE49-F238E27FC236}">
              <a16:creationId xmlns:a16="http://schemas.microsoft.com/office/drawing/2014/main" id="{661E9416-E85B-49DE-B158-99FEA6120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17" name="Picture 216">
          <a:extLst>
            <a:ext uri="{FF2B5EF4-FFF2-40B4-BE49-F238E27FC236}">
              <a16:creationId xmlns:a16="http://schemas.microsoft.com/office/drawing/2014/main" id="{307E8464-B359-466F-A572-851192DD1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18" name="Picture 217">
          <a:extLst>
            <a:ext uri="{FF2B5EF4-FFF2-40B4-BE49-F238E27FC236}">
              <a16:creationId xmlns:a16="http://schemas.microsoft.com/office/drawing/2014/main" id="{60A9CAF5-3D5D-4068-AFB2-D8E86FE8E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19" name="Picture 218">
          <a:extLst>
            <a:ext uri="{FF2B5EF4-FFF2-40B4-BE49-F238E27FC236}">
              <a16:creationId xmlns:a16="http://schemas.microsoft.com/office/drawing/2014/main" id="{F4E0EEB9-2190-4724-83B4-EEACC94D7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0" name="Picture 219">
          <a:extLst>
            <a:ext uri="{FF2B5EF4-FFF2-40B4-BE49-F238E27FC236}">
              <a16:creationId xmlns:a16="http://schemas.microsoft.com/office/drawing/2014/main" id="{DACC4682-A542-47B0-BC7D-2B5128D53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1" name="Picture 220">
          <a:extLst>
            <a:ext uri="{FF2B5EF4-FFF2-40B4-BE49-F238E27FC236}">
              <a16:creationId xmlns:a16="http://schemas.microsoft.com/office/drawing/2014/main" id="{5107C991-CD06-472E-AB7A-F3F6F5E7C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2" name="Picture 221">
          <a:extLst>
            <a:ext uri="{FF2B5EF4-FFF2-40B4-BE49-F238E27FC236}">
              <a16:creationId xmlns:a16="http://schemas.microsoft.com/office/drawing/2014/main" id="{E496B43B-9A5A-43C2-93B0-8DDC3C71F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3" name="Picture 222">
          <a:extLst>
            <a:ext uri="{FF2B5EF4-FFF2-40B4-BE49-F238E27FC236}">
              <a16:creationId xmlns:a16="http://schemas.microsoft.com/office/drawing/2014/main" id="{FE6ACE79-FCA5-4CF2-858A-C7FC10429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4" name="Picture 223">
          <a:extLst>
            <a:ext uri="{FF2B5EF4-FFF2-40B4-BE49-F238E27FC236}">
              <a16:creationId xmlns:a16="http://schemas.microsoft.com/office/drawing/2014/main" id="{B9F0E401-3686-4476-A120-A55881092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5" name="Picture 224">
          <a:extLst>
            <a:ext uri="{FF2B5EF4-FFF2-40B4-BE49-F238E27FC236}">
              <a16:creationId xmlns:a16="http://schemas.microsoft.com/office/drawing/2014/main" id="{3660AA53-91DF-4C13-9531-08CB1A4D0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6" name="Picture 225">
          <a:extLst>
            <a:ext uri="{FF2B5EF4-FFF2-40B4-BE49-F238E27FC236}">
              <a16:creationId xmlns:a16="http://schemas.microsoft.com/office/drawing/2014/main" id="{FB3F6C69-8DB9-4C2C-85F9-CA8600790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7" name="Picture 226">
          <a:extLst>
            <a:ext uri="{FF2B5EF4-FFF2-40B4-BE49-F238E27FC236}">
              <a16:creationId xmlns:a16="http://schemas.microsoft.com/office/drawing/2014/main" id="{6976547E-A6F4-4E4B-9113-4D56707F4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8" name="Picture 227">
          <a:extLst>
            <a:ext uri="{FF2B5EF4-FFF2-40B4-BE49-F238E27FC236}">
              <a16:creationId xmlns:a16="http://schemas.microsoft.com/office/drawing/2014/main" id="{A2C19101-6BE9-4661-B270-99C19E024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29" name="Picture 228">
          <a:extLst>
            <a:ext uri="{FF2B5EF4-FFF2-40B4-BE49-F238E27FC236}">
              <a16:creationId xmlns:a16="http://schemas.microsoft.com/office/drawing/2014/main" id="{4C887259-45D4-4103-A03D-1DBB92AC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0" name="Picture 229">
          <a:extLst>
            <a:ext uri="{FF2B5EF4-FFF2-40B4-BE49-F238E27FC236}">
              <a16:creationId xmlns:a16="http://schemas.microsoft.com/office/drawing/2014/main" id="{37737989-4512-45A6-9C0F-779613963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1" name="Picture 230">
          <a:extLst>
            <a:ext uri="{FF2B5EF4-FFF2-40B4-BE49-F238E27FC236}">
              <a16:creationId xmlns:a16="http://schemas.microsoft.com/office/drawing/2014/main" id="{8BE5251B-B14E-409E-A649-8E8266099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2" name="Picture 231">
          <a:extLst>
            <a:ext uri="{FF2B5EF4-FFF2-40B4-BE49-F238E27FC236}">
              <a16:creationId xmlns:a16="http://schemas.microsoft.com/office/drawing/2014/main" id="{9C910C8C-3CDE-4298-BDF8-C03EC1229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3" name="Picture 232">
          <a:extLst>
            <a:ext uri="{FF2B5EF4-FFF2-40B4-BE49-F238E27FC236}">
              <a16:creationId xmlns:a16="http://schemas.microsoft.com/office/drawing/2014/main" id="{2A200017-E583-4230-8FA0-24B5F65DA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4" name="Picture 233">
          <a:extLst>
            <a:ext uri="{FF2B5EF4-FFF2-40B4-BE49-F238E27FC236}">
              <a16:creationId xmlns:a16="http://schemas.microsoft.com/office/drawing/2014/main" id="{7DE1C89B-8F13-4D96-B50D-66D3D7017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5" name="Picture 234">
          <a:extLst>
            <a:ext uri="{FF2B5EF4-FFF2-40B4-BE49-F238E27FC236}">
              <a16:creationId xmlns:a16="http://schemas.microsoft.com/office/drawing/2014/main" id="{8A36AECA-509E-4D65-B476-CDF6563B4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6" name="Picture 235">
          <a:extLst>
            <a:ext uri="{FF2B5EF4-FFF2-40B4-BE49-F238E27FC236}">
              <a16:creationId xmlns:a16="http://schemas.microsoft.com/office/drawing/2014/main" id="{0051CC41-73F0-4E4D-BCF4-0D34EF3AF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7" name="Picture 236">
          <a:extLst>
            <a:ext uri="{FF2B5EF4-FFF2-40B4-BE49-F238E27FC236}">
              <a16:creationId xmlns:a16="http://schemas.microsoft.com/office/drawing/2014/main" id="{F76D4A5C-3F3A-4C7C-ADCF-EC92000D9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8" name="Picture 237">
          <a:extLst>
            <a:ext uri="{FF2B5EF4-FFF2-40B4-BE49-F238E27FC236}">
              <a16:creationId xmlns:a16="http://schemas.microsoft.com/office/drawing/2014/main" id="{7B4FFAC3-20F9-4DB4-ABB9-798C918CC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9" name="Picture 238">
          <a:extLst>
            <a:ext uri="{FF2B5EF4-FFF2-40B4-BE49-F238E27FC236}">
              <a16:creationId xmlns:a16="http://schemas.microsoft.com/office/drawing/2014/main" id="{B87EA49A-C140-46CA-B25D-4E8B14E4C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40" name="Picture 239">
          <a:extLst>
            <a:ext uri="{FF2B5EF4-FFF2-40B4-BE49-F238E27FC236}">
              <a16:creationId xmlns:a16="http://schemas.microsoft.com/office/drawing/2014/main" id="{C2955FA9-979B-42AF-9A8D-4EF423557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41" name="Picture 240">
          <a:extLst>
            <a:ext uri="{FF2B5EF4-FFF2-40B4-BE49-F238E27FC236}">
              <a16:creationId xmlns:a16="http://schemas.microsoft.com/office/drawing/2014/main" id="{DBF0777B-14BE-47DA-B217-6776D59A7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42" name="Picture 241">
          <a:extLst>
            <a:ext uri="{FF2B5EF4-FFF2-40B4-BE49-F238E27FC236}">
              <a16:creationId xmlns:a16="http://schemas.microsoft.com/office/drawing/2014/main" id="{662E127F-FE93-4E3E-96B9-4BADF5250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43" name="Picture 242">
          <a:extLst>
            <a:ext uri="{FF2B5EF4-FFF2-40B4-BE49-F238E27FC236}">
              <a16:creationId xmlns:a16="http://schemas.microsoft.com/office/drawing/2014/main" id="{D236D2C5-E303-4A8D-AEF7-38C26CC8E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44" name="Picture 243">
          <a:extLst>
            <a:ext uri="{FF2B5EF4-FFF2-40B4-BE49-F238E27FC236}">
              <a16:creationId xmlns:a16="http://schemas.microsoft.com/office/drawing/2014/main" id="{F6CAABCB-2462-4C05-A09D-A1D72DF34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45" name="Picture 244">
          <a:extLst>
            <a:ext uri="{FF2B5EF4-FFF2-40B4-BE49-F238E27FC236}">
              <a16:creationId xmlns:a16="http://schemas.microsoft.com/office/drawing/2014/main" id="{880EC3D8-0233-4BC2-9D09-81A025314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46" name="Picture 245">
          <a:extLst>
            <a:ext uri="{FF2B5EF4-FFF2-40B4-BE49-F238E27FC236}">
              <a16:creationId xmlns:a16="http://schemas.microsoft.com/office/drawing/2014/main" id="{F197F168-80C0-4548-A3BB-E9B93EE2F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47" name="Picture 246">
          <a:extLst>
            <a:ext uri="{FF2B5EF4-FFF2-40B4-BE49-F238E27FC236}">
              <a16:creationId xmlns:a16="http://schemas.microsoft.com/office/drawing/2014/main" id="{5A282F8F-1358-426D-A7DA-8D17192C5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48" name="Picture 247">
          <a:extLst>
            <a:ext uri="{FF2B5EF4-FFF2-40B4-BE49-F238E27FC236}">
              <a16:creationId xmlns:a16="http://schemas.microsoft.com/office/drawing/2014/main" id="{5924B339-2DFC-492A-A597-B9AED5FD4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49" name="Picture 248">
          <a:extLst>
            <a:ext uri="{FF2B5EF4-FFF2-40B4-BE49-F238E27FC236}">
              <a16:creationId xmlns:a16="http://schemas.microsoft.com/office/drawing/2014/main" id="{17AD65AA-A782-48B7-9670-E11E60B69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0" name="Picture 249">
          <a:extLst>
            <a:ext uri="{FF2B5EF4-FFF2-40B4-BE49-F238E27FC236}">
              <a16:creationId xmlns:a16="http://schemas.microsoft.com/office/drawing/2014/main" id="{FF93306A-1707-4B91-9F01-E3A548CCC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1" name="Picture 250">
          <a:extLst>
            <a:ext uri="{FF2B5EF4-FFF2-40B4-BE49-F238E27FC236}">
              <a16:creationId xmlns:a16="http://schemas.microsoft.com/office/drawing/2014/main" id="{AF95C886-3B0A-4669-8CBA-57BE5CE0B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2" name="Picture 251">
          <a:extLst>
            <a:ext uri="{FF2B5EF4-FFF2-40B4-BE49-F238E27FC236}">
              <a16:creationId xmlns:a16="http://schemas.microsoft.com/office/drawing/2014/main" id="{C1526ECF-6A90-486F-AAED-ECDE04982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3" name="Picture 252">
          <a:extLst>
            <a:ext uri="{FF2B5EF4-FFF2-40B4-BE49-F238E27FC236}">
              <a16:creationId xmlns:a16="http://schemas.microsoft.com/office/drawing/2014/main" id="{36BC721A-611B-40CB-BFD6-85CB780BE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4" name="Picture 253">
          <a:extLst>
            <a:ext uri="{FF2B5EF4-FFF2-40B4-BE49-F238E27FC236}">
              <a16:creationId xmlns:a16="http://schemas.microsoft.com/office/drawing/2014/main" id="{1352D1B6-9789-40C3-934E-D2281BAB3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5" name="Picture 254">
          <a:extLst>
            <a:ext uri="{FF2B5EF4-FFF2-40B4-BE49-F238E27FC236}">
              <a16:creationId xmlns:a16="http://schemas.microsoft.com/office/drawing/2014/main" id="{1866496C-D260-4A8F-B11B-A63523CE9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6" name="Picture 255">
          <a:extLst>
            <a:ext uri="{FF2B5EF4-FFF2-40B4-BE49-F238E27FC236}">
              <a16:creationId xmlns:a16="http://schemas.microsoft.com/office/drawing/2014/main" id="{DF7EEC2C-367A-4BFD-91BD-7D71757F9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7" name="Picture 256">
          <a:extLst>
            <a:ext uri="{FF2B5EF4-FFF2-40B4-BE49-F238E27FC236}">
              <a16:creationId xmlns:a16="http://schemas.microsoft.com/office/drawing/2014/main" id="{2E4A198B-545B-4EF2-B605-29C42D6AB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8" name="Picture 257">
          <a:extLst>
            <a:ext uri="{FF2B5EF4-FFF2-40B4-BE49-F238E27FC236}">
              <a16:creationId xmlns:a16="http://schemas.microsoft.com/office/drawing/2014/main" id="{E97E9FC3-91F9-4721-A29C-6B21BD15A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9" name="Picture 258">
          <a:extLst>
            <a:ext uri="{FF2B5EF4-FFF2-40B4-BE49-F238E27FC236}">
              <a16:creationId xmlns:a16="http://schemas.microsoft.com/office/drawing/2014/main" id="{6266C9CF-6C7A-4E78-BBBD-46178DD6F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60" name="Picture 259">
          <a:extLst>
            <a:ext uri="{FF2B5EF4-FFF2-40B4-BE49-F238E27FC236}">
              <a16:creationId xmlns:a16="http://schemas.microsoft.com/office/drawing/2014/main" id="{5E8A174D-2F4C-46E4-88F8-D4EB0F808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1" name="Picture 260">
          <a:extLst>
            <a:ext uri="{FF2B5EF4-FFF2-40B4-BE49-F238E27FC236}">
              <a16:creationId xmlns:a16="http://schemas.microsoft.com/office/drawing/2014/main" id="{9254324F-03B2-4DAD-8526-B13C4D53B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2" name="Picture 261">
          <a:extLst>
            <a:ext uri="{FF2B5EF4-FFF2-40B4-BE49-F238E27FC236}">
              <a16:creationId xmlns:a16="http://schemas.microsoft.com/office/drawing/2014/main" id="{97E50A61-316E-4ED2-AAF6-DE22066A0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3" name="Picture 262">
          <a:extLst>
            <a:ext uri="{FF2B5EF4-FFF2-40B4-BE49-F238E27FC236}">
              <a16:creationId xmlns:a16="http://schemas.microsoft.com/office/drawing/2014/main" id="{5FED809F-8E76-4D4E-AD23-34B5174F9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4" name="Picture 263">
          <a:extLst>
            <a:ext uri="{FF2B5EF4-FFF2-40B4-BE49-F238E27FC236}">
              <a16:creationId xmlns:a16="http://schemas.microsoft.com/office/drawing/2014/main" id="{700E77E6-A954-4551-89F5-81A7FDA22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5" name="Picture 264">
          <a:extLst>
            <a:ext uri="{FF2B5EF4-FFF2-40B4-BE49-F238E27FC236}">
              <a16:creationId xmlns:a16="http://schemas.microsoft.com/office/drawing/2014/main" id="{751AF3AE-247F-4FB7-93C4-08650D81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6" name="Picture 265">
          <a:extLst>
            <a:ext uri="{FF2B5EF4-FFF2-40B4-BE49-F238E27FC236}">
              <a16:creationId xmlns:a16="http://schemas.microsoft.com/office/drawing/2014/main" id="{61C22F49-9534-40F5-9B9F-9BD582A43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7" name="Picture 266">
          <a:extLst>
            <a:ext uri="{FF2B5EF4-FFF2-40B4-BE49-F238E27FC236}">
              <a16:creationId xmlns:a16="http://schemas.microsoft.com/office/drawing/2014/main" id="{2DCEB714-FD2F-4020-BEBC-D1082A3EA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8" name="Picture 267">
          <a:extLst>
            <a:ext uri="{FF2B5EF4-FFF2-40B4-BE49-F238E27FC236}">
              <a16:creationId xmlns:a16="http://schemas.microsoft.com/office/drawing/2014/main" id="{2916FC74-BE8A-446D-A683-FC697E778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9" name="Picture 268">
          <a:extLst>
            <a:ext uri="{FF2B5EF4-FFF2-40B4-BE49-F238E27FC236}">
              <a16:creationId xmlns:a16="http://schemas.microsoft.com/office/drawing/2014/main" id="{FED7EC42-F554-49A4-8CD3-19D48C9E0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70" name="Picture 269">
          <a:extLst>
            <a:ext uri="{FF2B5EF4-FFF2-40B4-BE49-F238E27FC236}">
              <a16:creationId xmlns:a16="http://schemas.microsoft.com/office/drawing/2014/main" id="{B94EBA51-3ABD-447B-8896-E1DB563AB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71" name="Picture 270">
          <a:extLst>
            <a:ext uri="{FF2B5EF4-FFF2-40B4-BE49-F238E27FC236}">
              <a16:creationId xmlns:a16="http://schemas.microsoft.com/office/drawing/2014/main" id="{283B34C1-92FA-4BF9-B2D5-0759D8701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72" name="Picture 271">
          <a:extLst>
            <a:ext uri="{FF2B5EF4-FFF2-40B4-BE49-F238E27FC236}">
              <a16:creationId xmlns:a16="http://schemas.microsoft.com/office/drawing/2014/main" id="{9265EC0F-EF32-4C43-A697-93AA042BF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73" name="Picture 272">
          <a:extLst>
            <a:ext uri="{FF2B5EF4-FFF2-40B4-BE49-F238E27FC236}">
              <a16:creationId xmlns:a16="http://schemas.microsoft.com/office/drawing/2014/main" id="{E4DF0B32-0648-46FD-A19D-723C8FEF9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74" name="Picture 273">
          <a:extLst>
            <a:ext uri="{FF2B5EF4-FFF2-40B4-BE49-F238E27FC236}">
              <a16:creationId xmlns:a16="http://schemas.microsoft.com/office/drawing/2014/main" id="{5D8AC561-4AA7-461C-BF40-14C324B2F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75" name="Picture 274">
          <a:extLst>
            <a:ext uri="{FF2B5EF4-FFF2-40B4-BE49-F238E27FC236}">
              <a16:creationId xmlns:a16="http://schemas.microsoft.com/office/drawing/2014/main" id="{E6E1B48D-2C3F-46C9-A0A2-B4CECE06C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76" name="Picture 275">
          <a:extLst>
            <a:ext uri="{FF2B5EF4-FFF2-40B4-BE49-F238E27FC236}">
              <a16:creationId xmlns:a16="http://schemas.microsoft.com/office/drawing/2014/main" id="{3AE26728-A753-4F2D-B6F4-3192EA685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77" name="Picture 276">
          <a:extLst>
            <a:ext uri="{FF2B5EF4-FFF2-40B4-BE49-F238E27FC236}">
              <a16:creationId xmlns:a16="http://schemas.microsoft.com/office/drawing/2014/main" id="{480754FA-8508-4F72-9748-C62BFBE07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78" name="Picture 277">
          <a:extLst>
            <a:ext uri="{FF2B5EF4-FFF2-40B4-BE49-F238E27FC236}">
              <a16:creationId xmlns:a16="http://schemas.microsoft.com/office/drawing/2014/main" id="{C11D7E12-48FA-45EE-934F-F3643B2D4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79" name="Picture 278">
          <a:extLst>
            <a:ext uri="{FF2B5EF4-FFF2-40B4-BE49-F238E27FC236}">
              <a16:creationId xmlns:a16="http://schemas.microsoft.com/office/drawing/2014/main" id="{BF28494F-F90B-4230-89E2-F0A0E09A4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0" name="Picture 279">
          <a:extLst>
            <a:ext uri="{FF2B5EF4-FFF2-40B4-BE49-F238E27FC236}">
              <a16:creationId xmlns:a16="http://schemas.microsoft.com/office/drawing/2014/main" id="{02D530B7-C500-4D2A-91DB-248E1E730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1" name="Picture 280">
          <a:extLst>
            <a:ext uri="{FF2B5EF4-FFF2-40B4-BE49-F238E27FC236}">
              <a16:creationId xmlns:a16="http://schemas.microsoft.com/office/drawing/2014/main" id="{D7B99375-8639-4622-8E68-96D983234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2" name="Picture 281">
          <a:extLst>
            <a:ext uri="{FF2B5EF4-FFF2-40B4-BE49-F238E27FC236}">
              <a16:creationId xmlns:a16="http://schemas.microsoft.com/office/drawing/2014/main" id="{B227C83B-C5B9-4DCB-97F3-AAD3C6D8F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3" name="Picture 282">
          <a:extLst>
            <a:ext uri="{FF2B5EF4-FFF2-40B4-BE49-F238E27FC236}">
              <a16:creationId xmlns:a16="http://schemas.microsoft.com/office/drawing/2014/main" id="{45142C77-46A0-4440-A746-3493313B2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4" name="Picture 283">
          <a:extLst>
            <a:ext uri="{FF2B5EF4-FFF2-40B4-BE49-F238E27FC236}">
              <a16:creationId xmlns:a16="http://schemas.microsoft.com/office/drawing/2014/main" id="{09AC3FC3-C539-4BFA-BE0A-3FA3EB0A6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5" name="Picture 284">
          <a:extLst>
            <a:ext uri="{FF2B5EF4-FFF2-40B4-BE49-F238E27FC236}">
              <a16:creationId xmlns:a16="http://schemas.microsoft.com/office/drawing/2014/main" id="{BB1D9FD6-20DF-46C5-8DBC-77EF3D5F0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6" name="Picture 285">
          <a:extLst>
            <a:ext uri="{FF2B5EF4-FFF2-40B4-BE49-F238E27FC236}">
              <a16:creationId xmlns:a16="http://schemas.microsoft.com/office/drawing/2014/main" id="{1C433AB2-957A-416E-9EDB-6EE512A43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7" name="Picture 286">
          <a:extLst>
            <a:ext uri="{FF2B5EF4-FFF2-40B4-BE49-F238E27FC236}">
              <a16:creationId xmlns:a16="http://schemas.microsoft.com/office/drawing/2014/main" id="{16645C50-D9E7-48C2-AF90-C4EAF57DA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8" name="Picture 287">
          <a:extLst>
            <a:ext uri="{FF2B5EF4-FFF2-40B4-BE49-F238E27FC236}">
              <a16:creationId xmlns:a16="http://schemas.microsoft.com/office/drawing/2014/main" id="{E613DD41-C060-41F9-BD2F-62492036C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9" name="Picture 288">
          <a:extLst>
            <a:ext uri="{FF2B5EF4-FFF2-40B4-BE49-F238E27FC236}">
              <a16:creationId xmlns:a16="http://schemas.microsoft.com/office/drawing/2014/main" id="{0DB060EC-3640-49D4-AAD1-EA4159E83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90" name="Picture 289">
          <a:extLst>
            <a:ext uri="{FF2B5EF4-FFF2-40B4-BE49-F238E27FC236}">
              <a16:creationId xmlns:a16="http://schemas.microsoft.com/office/drawing/2014/main" id="{14D2A877-647B-4F58-8DE2-B834FACDE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91" name="Picture 290">
          <a:extLst>
            <a:ext uri="{FF2B5EF4-FFF2-40B4-BE49-F238E27FC236}">
              <a16:creationId xmlns:a16="http://schemas.microsoft.com/office/drawing/2014/main" id="{0A6CC5D9-3EED-49CA-86C7-0C73A028C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92" name="Picture 291">
          <a:extLst>
            <a:ext uri="{FF2B5EF4-FFF2-40B4-BE49-F238E27FC236}">
              <a16:creationId xmlns:a16="http://schemas.microsoft.com/office/drawing/2014/main" id="{8744B9F9-FC35-4DC6-9F10-C6BEE95C8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293" name="Picture 292">
          <a:extLst>
            <a:ext uri="{FF2B5EF4-FFF2-40B4-BE49-F238E27FC236}">
              <a16:creationId xmlns:a16="http://schemas.microsoft.com/office/drawing/2014/main" id="{319E1D61-E755-4A63-ABB2-7B6BC89E4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294" name="Picture 293">
          <a:extLst>
            <a:ext uri="{FF2B5EF4-FFF2-40B4-BE49-F238E27FC236}">
              <a16:creationId xmlns:a16="http://schemas.microsoft.com/office/drawing/2014/main" id="{0A64029A-2A8F-4564-AAAD-5DDF0DA85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295" name="Picture 294">
          <a:extLst>
            <a:ext uri="{FF2B5EF4-FFF2-40B4-BE49-F238E27FC236}">
              <a16:creationId xmlns:a16="http://schemas.microsoft.com/office/drawing/2014/main" id="{0C9C6B10-920D-4E3D-90E6-A1484B4BC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296" name="Picture 295">
          <a:extLst>
            <a:ext uri="{FF2B5EF4-FFF2-40B4-BE49-F238E27FC236}">
              <a16:creationId xmlns:a16="http://schemas.microsoft.com/office/drawing/2014/main" id="{D15D9B75-0905-46B5-AB76-43A6543BC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297" name="Picture 296">
          <a:extLst>
            <a:ext uri="{FF2B5EF4-FFF2-40B4-BE49-F238E27FC236}">
              <a16:creationId xmlns:a16="http://schemas.microsoft.com/office/drawing/2014/main" id="{775E6055-AF1E-4BED-8997-8A89B4FE7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298" name="Picture 297">
          <a:extLst>
            <a:ext uri="{FF2B5EF4-FFF2-40B4-BE49-F238E27FC236}">
              <a16:creationId xmlns:a16="http://schemas.microsoft.com/office/drawing/2014/main" id="{5C65E62B-C670-4CE3-BE9D-384AADEB3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299" name="Picture 298">
          <a:extLst>
            <a:ext uri="{FF2B5EF4-FFF2-40B4-BE49-F238E27FC236}">
              <a16:creationId xmlns:a16="http://schemas.microsoft.com/office/drawing/2014/main" id="{2FA86AEC-E836-4380-8ABD-FFF0E8907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0" name="Picture 299">
          <a:extLst>
            <a:ext uri="{FF2B5EF4-FFF2-40B4-BE49-F238E27FC236}">
              <a16:creationId xmlns:a16="http://schemas.microsoft.com/office/drawing/2014/main" id="{E5F71448-213F-4E6F-8BCC-AD572B67F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1" name="Picture 300">
          <a:extLst>
            <a:ext uri="{FF2B5EF4-FFF2-40B4-BE49-F238E27FC236}">
              <a16:creationId xmlns:a16="http://schemas.microsoft.com/office/drawing/2014/main" id="{DA8F2E23-0A62-453C-BC27-28C870EB7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2" name="Picture 301">
          <a:extLst>
            <a:ext uri="{FF2B5EF4-FFF2-40B4-BE49-F238E27FC236}">
              <a16:creationId xmlns:a16="http://schemas.microsoft.com/office/drawing/2014/main" id="{47B448A0-51BF-4056-864A-E0F675DF6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3" name="Picture 302">
          <a:extLst>
            <a:ext uri="{FF2B5EF4-FFF2-40B4-BE49-F238E27FC236}">
              <a16:creationId xmlns:a16="http://schemas.microsoft.com/office/drawing/2014/main" id="{EFFC686A-4434-4570-A7E5-8B372CE5B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4" name="Picture 303">
          <a:extLst>
            <a:ext uri="{FF2B5EF4-FFF2-40B4-BE49-F238E27FC236}">
              <a16:creationId xmlns:a16="http://schemas.microsoft.com/office/drawing/2014/main" id="{578C4A15-0DDA-4836-A78E-4DFE02145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5" name="Picture 304">
          <a:extLst>
            <a:ext uri="{FF2B5EF4-FFF2-40B4-BE49-F238E27FC236}">
              <a16:creationId xmlns:a16="http://schemas.microsoft.com/office/drawing/2014/main" id="{7BF70589-78E8-4485-ABFD-FC9376470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6" name="Picture 305">
          <a:extLst>
            <a:ext uri="{FF2B5EF4-FFF2-40B4-BE49-F238E27FC236}">
              <a16:creationId xmlns:a16="http://schemas.microsoft.com/office/drawing/2014/main" id="{25F98A8D-E7CC-43AD-8E39-5BC4CC7D9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7" name="Picture 306">
          <a:extLst>
            <a:ext uri="{FF2B5EF4-FFF2-40B4-BE49-F238E27FC236}">
              <a16:creationId xmlns:a16="http://schemas.microsoft.com/office/drawing/2014/main" id="{065DE5BD-5EF0-4027-8F7D-9B75C898B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8" name="Picture 307">
          <a:extLst>
            <a:ext uri="{FF2B5EF4-FFF2-40B4-BE49-F238E27FC236}">
              <a16:creationId xmlns:a16="http://schemas.microsoft.com/office/drawing/2014/main" id="{A67B1654-2840-41DE-B888-9DC92C927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09" name="Picture 308">
          <a:extLst>
            <a:ext uri="{FF2B5EF4-FFF2-40B4-BE49-F238E27FC236}">
              <a16:creationId xmlns:a16="http://schemas.microsoft.com/office/drawing/2014/main" id="{11CA50AE-44A9-4A34-8A13-7F5DA1DBC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0" name="Picture 309">
          <a:extLst>
            <a:ext uri="{FF2B5EF4-FFF2-40B4-BE49-F238E27FC236}">
              <a16:creationId xmlns:a16="http://schemas.microsoft.com/office/drawing/2014/main" id="{7E70AEC4-B7B4-42CA-9CB7-545F703B5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1" name="Picture 310">
          <a:extLst>
            <a:ext uri="{FF2B5EF4-FFF2-40B4-BE49-F238E27FC236}">
              <a16:creationId xmlns:a16="http://schemas.microsoft.com/office/drawing/2014/main" id="{EED2C6FC-F5A8-4A1F-A582-821855BBD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2" name="Picture 311">
          <a:extLst>
            <a:ext uri="{FF2B5EF4-FFF2-40B4-BE49-F238E27FC236}">
              <a16:creationId xmlns:a16="http://schemas.microsoft.com/office/drawing/2014/main" id="{EF5FE544-D9D1-46FC-BBA0-ABAE877A1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3" name="Picture 312">
          <a:extLst>
            <a:ext uri="{FF2B5EF4-FFF2-40B4-BE49-F238E27FC236}">
              <a16:creationId xmlns:a16="http://schemas.microsoft.com/office/drawing/2014/main" id="{3158FFE8-CE09-4279-BC12-02EB95836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4" name="Picture 313">
          <a:extLst>
            <a:ext uri="{FF2B5EF4-FFF2-40B4-BE49-F238E27FC236}">
              <a16:creationId xmlns:a16="http://schemas.microsoft.com/office/drawing/2014/main" id="{34CB437F-E654-4F49-ABA8-1EBD94D0D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5" name="Picture 314">
          <a:extLst>
            <a:ext uri="{FF2B5EF4-FFF2-40B4-BE49-F238E27FC236}">
              <a16:creationId xmlns:a16="http://schemas.microsoft.com/office/drawing/2014/main" id="{D4F7D7DF-E95E-40FA-8207-52945E987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6" name="Picture 315">
          <a:extLst>
            <a:ext uri="{FF2B5EF4-FFF2-40B4-BE49-F238E27FC236}">
              <a16:creationId xmlns:a16="http://schemas.microsoft.com/office/drawing/2014/main" id="{D4A75F82-8102-468C-94F2-5769F4BA4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7" name="Picture 316">
          <a:extLst>
            <a:ext uri="{FF2B5EF4-FFF2-40B4-BE49-F238E27FC236}">
              <a16:creationId xmlns:a16="http://schemas.microsoft.com/office/drawing/2014/main" id="{7954810D-2D63-4155-8ED3-35A43BEEC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8" name="Picture 317">
          <a:extLst>
            <a:ext uri="{FF2B5EF4-FFF2-40B4-BE49-F238E27FC236}">
              <a16:creationId xmlns:a16="http://schemas.microsoft.com/office/drawing/2014/main" id="{D0776D96-4374-495E-8DCA-4DBE1922E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9" name="Picture 318">
          <a:extLst>
            <a:ext uri="{FF2B5EF4-FFF2-40B4-BE49-F238E27FC236}">
              <a16:creationId xmlns:a16="http://schemas.microsoft.com/office/drawing/2014/main" id="{34CE3D56-A00C-4BE7-A9D7-24A0B6613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20" name="Picture 319">
          <a:extLst>
            <a:ext uri="{FF2B5EF4-FFF2-40B4-BE49-F238E27FC236}">
              <a16:creationId xmlns:a16="http://schemas.microsoft.com/office/drawing/2014/main" id="{A942F661-3E56-4D68-8FF1-7A4A855C3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21" name="Picture 320">
          <a:extLst>
            <a:ext uri="{FF2B5EF4-FFF2-40B4-BE49-F238E27FC236}">
              <a16:creationId xmlns:a16="http://schemas.microsoft.com/office/drawing/2014/main" id="{893DC034-B2A2-48E1-9F40-AE7A4A72F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22" name="Picture 321">
          <a:extLst>
            <a:ext uri="{FF2B5EF4-FFF2-40B4-BE49-F238E27FC236}">
              <a16:creationId xmlns:a16="http://schemas.microsoft.com/office/drawing/2014/main" id="{8551298D-EFF4-4577-84E8-7AED2A621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23" name="Picture 322">
          <a:extLst>
            <a:ext uri="{FF2B5EF4-FFF2-40B4-BE49-F238E27FC236}">
              <a16:creationId xmlns:a16="http://schemas.microsoft.com/office/drawing/2014/main" id="{00435FA5-01D1-4530-BCE2-6DFF312C0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24" name="Picture 323">
          <a:extLst>
            <a:ext uri="{FF2B5EF4-FFF2-40B4-BE49-F238E27FC236}">
              <a16:creationId xmlns:a16="http://schemas.microsoft.com/office/drawing/2014/main" id="{ABA808D0-7042-4386-8400-2EF6FAF6A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25" name="Picture 324">
          <a:extLst>
            <a:ext uri="{FF2B5EF4-FFF2-40B4-BE49-F238E27FC236}">
              <a16:creationId xmlns:a16="http://schemas.microsoft.com/office/drawing/2014/main" id="{B92964E5-8945-46D5-AA4C-85E20E201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26" name="Picture 325">
          <a:extLst>
            <a:ext uri="{FF2B5EF4-FFF2-40B4-BE49-F238E27FC236}">
              <a16:creationId xmlns:a16="http://schemas.microsoft.com/office/drawing/2014/main" id="{751680DF-450A-452C-8BCA-8E93A768E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9525" cy="9525"/>
    <xdr:pic>
      <xdr:nvPicPr>
        <xdr:cNvPr id="327" name="Picture 326">
          <a:extLst>
            <a:ext uri="{FF2B5EF4-FFF2-40B4-BE49-F238E27FC236}">
              <a16:creationId xmlns:a16="http://schemas.microsoft.com/office/drawing/2014/main" id="{73470B38-E606-4615-83B7-AF41AD4E7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8960" y="67208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9525" cy="9525"/>
    <xdr:pic>
      <xdr:nvPicPr>
        <xdr:cNvPr id="328" name="Picture 327">
          <a:extLst>
            <a:ext uri="{FF2B5EF4-FFF2-40B4-BE49-F238E27FC236}">
              <a16:creationId xmlns:a16="http://schemas.microsoft.com/office/drawing/2014/main" id="{549E80B4-97C2-44BF-B7BB-E5A25C9F1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8960" y="67208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329" name="Picture 328">
          <a:extLst>
            <a:ext uri="{FF2B5EF4-FFF2-40B4-BE49-F238E27FC236}">
              <a16:creationId xmlns:a16="http://schemas.microsoft.com/office/drawing/2014/main" id="{896675D5-861B-46C4-B202-278AAFF18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330" name="Picture 329">
          <a:extLst>
            <a:ext uri="{FF2B5EF4-FFF2-40B4-BE49-F238E27FC236}">
              <a16:creationId xmlns:a16="http://schemas.microsoft.com/office/drawing/2014/main" id="{F8BD3FB8-06D8-4530-B1D2-DFB034EB5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331" name="Picture 330">
          <a:extLst>
            <a:ext uri="{FF2B5EF4-FFF2-40B4-BE49-F238E27FC236}">
              <a16:creationId xmlns:a16="http://schemas.microsoft.com/office/drawing/2014/main" id="{C684C31C-58F6-4D9F-A9F0-106DAB33A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332" name="Picture 331">
          <a:extLst>
            <a:ext uri="{FF2B5EF4-FFF2-40B4-BE49-F238E27FC236}">
              <a16:creationId xmlns:a16="http://schemas.microsoft.com/office/drawing/2014/main" id="{6EBB5CE1-25AF-4CA8-B124-17FA1FB1C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333" name="Picture 332">
          <a:extLst>
            <a:ext uri="{FF2B5EF4-FFF2-40B4-BE49-F238E27FC236}">
              <a16:creationId xmlns:a16="http://schemas.microsoft.com/office/drawing/2014/main" id="{A0B3E472-55D5-4D52-A0EA-2C7075E6C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334" name="Picture 333">
          <a:extLst>
            <a:ext uri="{FF2B5EF4-FFF2-40B4-BE49-F238E27FC236}">
              <a16:creationId xmlns:a16="http://schemas.microsoft.com/office/drawing/2014/main" id="{1DB80251-734D-4764-8A44-6874E04F6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335" name="Picture 334">
          <a:extLst>
            <a:ext uri="{FF2B5EF4-FFF2-40B4-BE49-F238E27FC236}">
              <a16:creationId xmlns:a16="http://schemas.microsoft.com/office/drawing/2014/main" id="{AB25B6B5-DEE3-4F21-8C30-400DD149F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336" name="Picture 335">
          <a:extLst>
            <a:ext uri="{FF2B5EF4-FFF2-40B4-BE49-F238E27FC236}">
              <a16:creationId xmlns:a16="http://schemas.microsoft.com/office/drawing/2014/main" id="{6206254F-BB43-43BD-BE7D-06489A2DF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337" name="Picture 336">
          <a:extLst>
            <a:ext uri="{FF2B5EF4-FFF2-40B4-BE49-F238E27FC236}">
              <a16:creationId xmlns:a16="http://schemas.microsoft.com/office/drawing/2014/main" id="{495FC38C-41C4-4122-9545-05E78CA06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338" name="Picture 337">
          <a:extLst>
            <a:ext uri="{FF2B5EF4-FFF2-40B4-BE49-F238E27FC236}">
              <a16:creationId xmlns:a16="http://schemas.microsoft.com/office/drawing/2014/main" id="{20A11826-39BE-484E-B893-C66A62ACE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39" name="Picture 338">
          <a:extLst>
            <a:ext uri="{FF2B5EF4-FFF2-40B4-BE49-F238E27FC236}">
              <a16:creationId xmlns:a16="http://schemas.microsoft.com/office/drawing/2014/main" id="{BD127222-2E7E-4BA3-937D-C8B0B6EAA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40" name="Picture 339">
          <a:extLst>
            <a:ext uri="{FF2B5EF4-FFF2-40B4-BE49-F238E27FC236}">
              <a16:creationId xmlns:a16="http://schemas.microsoft.com/office/drawing/2014/main" id="{E828F4CC-EFF5-4D63-9ED6-4415A466D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41" name="Picture 340">
          <a:extLst>
            <a:ext uri="{FF2B5EF4-FFF2-40B4-BE49-F238E27FC236}">
              <a16:creationId xmlns:a16="http://schemas.microsoft.com/office/drawing/2014/main" id="{ACA424BB-6C58-4D4C-AF9E-326242182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42" name="Picture 341">
          <a:extLst>
            <a:ext uri="{FF2B5EF4-FFF2-40B4-BE49-F238E27FC236}">
              <a16:creationId xmlns:a16="http://schemas.microsoft.com/office/drawing/2014/main" id="{6E8E16DB-5669-4238-BB8E-532E72525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343" name="Picture 342">
          <a:extLst>
            <a:ext uri="{FF2B5EF4-FFF2-40B4-BE49-F238E27FC236}">
              <a16:creationId xmlns:a16="http://schemas.microsoft.com/office/drawing/2014/main" id="{B390BA49-FAB9-4A3B-B93B-6CA5E0335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344" name="Picture 343">
          <a:extLst>
            <a:ext uri="{FF2B5EF4-FFF2-40B4-BE49-F238E27FC236}">
              <a16:creationId xmlns:a16="http://schemas.microsoft.com/office/drawing/2014/main" id="{EF9E9DBA-DAEA-47DA-BBC8-87C25124F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345" name="Picture 344">
          <a:extLst>
            <a:ext uri="{FF2B5EF4-FFF2-40B4-BE49-F238E27FC236}">
              <a16:creationId xmlns:a16="http://schemas.microsoft.com/office/drawing/2014/main" id="{98A1AC37-7B95-436F-8FCE-28D755AED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346" name="Picture 345">
          <a:extLst>
            <a:ext uri="{FF2B5EF4-FFF2-40B4-BE49-F238E27FC236}">
              <a16:creationId xmlns:a16="http://schemas.microsoft.com/office/drawing/2014/main" id="{4389FD75-2BDC-4070-B8A6-1EEB0D69D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347" name="Picture 346">
          <a:extLst>
            <a:ext uri="{FF2B5EF4-FFF2-40B4-BE49-F238E27FC236}">
              <a16:creationId xmlns:a16="http://schemas.microsoft.com/office/drawing/2014/main" id="{FAC01872-AC25-4473-A033-FC6B5EDC3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348" name="Picture 347">
          <a:extLst>
            <a:ext uri="{FF2B5EF4-FFF2-40B4-BE49-F238E27FC236}">
              <a16:creationId xmlns:a16="http://schemas.microsoft.com/office/drawing/2014/main" id="{E50AE05C-B195-4A9A-82FD-6687707CB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49" name="Picture 348">
          <a:extLst>
            <a:ext uri="{FF2B5EF4-FFF2-40B4-BE49-F238E27FC236}">
              <a16:creationId xmlns:a16="http://schemas.microsoft.com/office/drawing/2014/main" id="{73676F8D-E2C3-42D0-9FAA-81BCE8228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50" name="Picture 349">
          <a:extLst>
            <a:ext uri="{FF2B5EF4-FFF2-40B4-BE49-F238E27FC236}">
              <a16:creationId xmlns:a16="http://schemas.microsoft.com/office/drawing/2014/main" id="{9F01B05F-8620-4CBB-8649-90168D1A5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51" name="Picture 350">
          <a:extLst>
            <a:ext uri="{FF2B5EF4-FFF2-40B4-BE49-F238E27FC236}">
              <a16:creationId xmlns:a16="http://schemas.microsoft.com/office/drawing/2014/main" id="{F3F5933A-3074-4888-B06A-71E3FAC58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52" name="Picture 351">
          <a:extLst>
            <a:ext uri="{FF2B5EF4-FFF2-40B4-BE49-F238E27FC236}">
              <a16:creationId xmlns:a16="http://schemas.microsoft.com/office/drawing/2014/main" id="{EA29C7F6-3A6D-4D6B-A02B-D5ACD36B1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53" name="Picture 352">
          <a:extLst>
            <a:ext uri="{FF2B5EF4-FFF2-40B4-BE49-F238E27FC236}">
              <a16:creationId xmlns:a16="http://schemas.microsoft.com/office/drawing/2014/main" id="{41F43DD2-7FF0-4991-A32A-539CB6E68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54" name="Picture 353">
          <a:extLst>
            <a:ext uri="{FF2B5EF4-FFF2-40B4-BE49-F238E27FC236}">
              <a16:creationId xmlns:a16="http://schemas.microsoft.com/office/drawing/2014/main" id="{E5657FB8-A3DE-424D-A8DB-7918BBE21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55" name="Picture 354">
          <a:extLst>
            <a:ext uri="{FF2B5EF4-FFF2-40B4-BE49-F238E27FC236}">
              <a16:creationId xmlns:a16="http://schemas.microsoft.com/office/drawing/2014/main" id="{53684AF0-3062-4F51-8407-F471ADB68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56" name="Picture 355">
          <a:extLst>
            <a:ext uri="{FF2B5EF4-FFF2-40B4-BE49-F238E27FC236}">
              <a16:creationId xmlns:a16="http://schemas.microsoft.com/office/drawing/2014/main" id="{2E7F99A3-14EB-4901-86ED-642EABBC3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357" name="Picture 356">
          <a:extLst>
            <a:ext uri="{FF2B5EF4-FFF2-40B4-BE49-F238E27FC236}">
              <a16:creationId xmlns:a16="http://schemas.microsoft.com/office/drawing/2014/main" id="{03061EB3-44CB-4248-98CD-DA2F1A37C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358" name="Picture 357">
          <a:extLst>
            <a:ext uri="{FF2B5EF4-FFF2-40B4-BE49-F238E27FC236}">
              <a16:creationId xmlns:a16="http://schemas.microsoft.com/office/drawing/2014/main" id="{6D9C8B83-9654-44BC-8D5D-4DFD83BCF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359" name="Picture 358">
          <a:extLst>
            <a:ext uri="{FF2B5EF4-FFF2-40B4-BE49-F238E27FC236}">
              <a16:creationId xmlns:a16="http://schemas.microsoft.com/office/drawing/2014/main" id="{EACBE739-4B27-4279-8037-EBAF3AB12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360" name="Picture 359">
          <a:extLst>
            <a:ext uri="{FF2B5EF4-FFF2-40B4-BE49-F238E27FC236}">
              <a16:creationId xmlns:a16="http://schemas.microsoft.com/office/drawing/2014/main" id="{78E1B7F0-5D5F-4B48-9C73-27D285D4A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361" name="Picture 360">
          <a:extLst>
            <a:ext uri="{FF2B5EF4-FFF2-40B4-BE49-F238E27FC236}">
              <a16:creationId xmlns:a16="http://schemas.microsoft.com/office/drawing/2014/main" id="{8B92BDE7-748E-4774-951A-8AE9287DC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362" name="Picture 361">
          <a:extLst>
            <a:ext uri="{FF2B5EF4-FFF2-40B4-BE49-F238E27FC236}">
              <a16:creationId xmlns:a16="http://schemas.microsoft.com/office/drawing/2014/main" id="{B55D05AE-E3A5-4A2F-9ED1-6BEEE668A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363" name="Picture 362">
          <a:extLst>
            <a:ext uri="{FF2B5EF4-FFF2-40B4-BE49-F238E27FC236}">
              <a16:creationId xmlns:a16="http://schemas.microsoft.com/office/drawing/2014/main" id="{7BA8891F-4115-4F6B-AE2F-EC7360971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364" name="Picture 363">
          <a:extLst>
            <a:ext uri="{FF2B5EF4-FFF2-40B4-BE49-F238E27FC236}">
              <a16:creationId xmlns:a16="http://schemas.microsoft.com/office/drawing/2014/main" id="{E269AEF8-0D72-4C8E-A542-0BC45F91E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365" name="Picture 364">
          <a:extLst>
            <a:ext uri="{FF2B5EF4-FFF2-40B4-BE49-F238E27FC236}">
              <a16:creationId xmlns:a16="http://schemas.microsoft.com/office/drawing/2014/main" id="{005339A1-F56B-4B0B-B4FA-9DF8A79B3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366" name="Picture 365">
          <a:extLst>
            <a:ext uri="{FF2B5EF4-FFF2-40B4-BE49-F238E27FC236}">
              <a16:creationId xmlns:a16="http://schemas.microsoft.com/office/drawing/2014/main" id="{EB351B78-6671-4128-8DA2-BA483ECF1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367" name="Picture 366">
          <a:extLst>
            <a:ext uri="{FF2B5EF4-FFF2-40B4-BE49-F238E27FC236}">
              <a16:creationId xmlns:a16="http://schemas.microsoft.com/office/drawing/2014/main" id="{252B58BF-6821-438D-87BC-B74E2C205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368" name="Picture 367">
          <a:extLst>
            <a:ext uri="{FF2B5EF4-FFF2-40B4-BE49-F238E27FC236}">
              <a16:creationId xmlns:a16="http://schemas.microsoft.com/office/drawing/2014/main" id="{C0453A08-180B-4E31-BD8E-7CED899B4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369" name="Picture 368">
          <a:extLst>
            <a:ext uri="{FF2B5EF4-FFF2-40B4-BE49-F238E27FC236}">
              <a16:creationId xmlns:a16="http://schemas.microsoft.com/office/drawing/2014/main" id="{A1630651-0050-45CF-9983-3532442D0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370" name="Picture 369">
          <a:extLst>
            <a:ext uri="{FF2B5EF4-FFF2-40B4-BE49-F238E27FC236}">
              <a16:creationId xmlns:a16="http://schemas.microsoft.com/office/drawing/2014/main" id="{CBE89B09-5134-43A8-8EB6-2EC7B1394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371" name="Picture 370">
          <a:extLst>
            <a:ext uri="{FF2B5EF4-FFF2-40B4-BE49-F238E27FC236}">
              <a16:creationId xmlns:a16="http://schemas.microsoft.com/office/drawing/2014/main" id="{B9025A00-8889-4955-BA41-5E31FE79B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372" name="Picture 371">
          <a:extLst>
            <a:ext uri="{FF2B5EF4-FFF2-40B4-BE49-F238E27FC236}">
              <a16:creationId xmlns:a16="http://schemas.microsoft.com/office/drawing/2014/main" id="{DA640D5D-8092-46AF-9180-4A06D2EEB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373" name="Picture 372">
          <a:extLst>
            <a:ext uri="{FF2B5EF4-FFF2-40B4-BE49-F238E27FC236}">
              <a16:creationId xmlns:a16="http://schemas.microsoft.com/office/drawing/2014/main" id="{44A9A17C-05B6-49D4-88B7-413C8E4AA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374" name="Picture 373">
          <a:extLst>
            <a:ext uri="{FF2B5EF4-FFF2-40B4-BE49-F238E27FC236}">
              <a16:creationId xmlns:a16="http://schemas.microsoft.com/office/drawing/2014/main" id="{B7151993-A9C3-4C68-BDAF-93F519557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375" name="Picture 374">
          <a:extLst>
            <a:ext uri="{FF2B5EF4-FFF2-40B4-BE49-F238E27FC236}">
              <a16:creationId xmlns:a16="http://schemas.microsoft.com/office/drawing/2014/main" id="{28A1EF2B-CEF2-47CE-A2D5-B73EB043B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376" name="Picture 375">
          <a:extLst>
            <a:ext uri="{FF2B5EF4-FFF2-40B4-BE49-F238E27FC236}">
              <a16:creationId xmlns:a16="http://schemas.microsoft.com/office/drawing/2014/main" id="{F3E2DD4E-7E7A-43F7-831C-F3DC8125C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77" name="Picture 376">
          <a:extLst>
            <a:ext uri="{FF2B5EF4-FFF2-40B4-BE49-F238E27FC236}">
              <a16:creationId xmlns:a16="http://schemas.microsoft.com/office/drawing/2014/main" id="{3CB597E7-6101-4F05-BB2D-619C56F1D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78" name="Picture 377">
          <a:extLst>
            <a:ext uri="{FF2B5EF4-FFF2-40B4-BE49-F238E27FC236}">
              <a16:creationId xmlns:a16="http://schemas.microsoft.com/office/drawing/2014/main" id="{15F23184-7C43-486E-85E6-1AEA046D6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79" name="Picture 378">
          <a:extLst>
            <a:ext uri="{FF2B5EF4-FFF2-40B4-BE49-F238E27FC236}">
              <a16:creationId xmlns:a16="http://schemas.microsoft.com/office/drawing/2014/main" id="{98AA77DF-E177-447C-90BB-FA723E65A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80" name="Picture 379">
          <a:extLst>
            <a:ext uri="{FF2B5EF4-FFF2-40B4-BE49-F238E27FC236}">
              <a16:creationId xmlns:a16="http://schemas.microsoft.com/office/drawing/2014/main" id="{39D46ADD-205B-47A0-8232-848A1F301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1" name="Picture 380">
          <a:extLst>
            <a:ext uri="{FF2B5EF4-FFF2-40B4-BE49-F238E27FC236}">
              <a16:creationId xmlns:a16="http://schemas.microsoft.com/office/drawing/2014/main" id="{AC694D2E-4402-48B8-A93F-A0A552236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2" name="Picture 381">
          <a:extLst>
            <a:ext uri="{FF2B5EF4-FFF2-40B4-BE49-F238E27FC236}">
              <a16:creationId xmlns:a16="http://schemas.microsoft.com/office/drawing/2014/main" id="{B11553CF-E6E8-4FEF-9B26-82C9200DA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3" name="Picture 382">
          <a:extLst>
            <a:ext uri="{FF2B5EF4-FFF2-40B4-BE49-F238E27FC236}">
              <a16:creationId xmlns:a16="http://schemas.microsoft.com/office/drawing/2014/main" id="{D9426950-8D08-4930-A652-D8BA91F84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4" name="Picture 383">
          <a:extLst>
            <a:ext uri="{FF2B5EF4-FFF2-40B4-BE49-F238E27FC236}">
              <a16:creationId xmlns:a16="http://schemas.microsoft.com/office/drawing/2014/main" id="{BBD5E01B-C340-491F-956C-D276D4B5E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5" name="Picture 384">
          <a:extLst>
            <a:ext uri="{FF2B5EF4-FFF2-40B4-BE49-F238E27FC236}">
              <a16:creationId xmlns:a16="http://schemas.microsoft.com/office/drawing/2014/main" id="{433F8A3E-6930-4B69-836C-1635E3E97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6" name="Picture 385">
          <a:extLst>
            <a:ext uri="{FF2B5EF4-FFF2-40B4-BE49-F238E27FC236}">
              <a16:creationId xmlns:a16="http://schemas.microsoft.com/office/drawing/2014/main" id="{FA4F0395-C6CD-4913-B7DD-7F954C6AD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7" name="Picture 386">
          <a:extLst>
            <a:ext uri="{FF2B5EF4-FFF2-40B4-BE49-F238E27FC236}">
              <a16:creationId xmlns:a16="http://schemas.microsoft.com/office/drawing/2014/main" id="{346BD7C4-9EA2-422F-8F00-558DEBB38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8" name="Picture 387">
          <a:extLst>
            <a:ext uri="{FF2B5EF4-FFF2-40B4-BE49-F238E27FC236}">
              <a16:creationId xmlns:a16="http://schemas.microsoft.com/office/drawing/2014/main" id="{8B2FEC9E-4B5F-4495-9313-D8AFDB6AF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9" name="Picture 388">
          <a:extLst>
            <a:ext uri="{FF2B5EF4-FFF2-40B4-BE49-F238E27FC236}">
              <a16:creationId xmlns:a16="http://schemas.microsoft.com/office/drawing/2014/main" id="{AAE6A483-5D50-449D-B034-56E4117E2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90" name="Picture 389">
          <a:extLst>
            <a:ext uri="{FF2B5EF4-FFF2-40B4-BE49-F238E27FC236}">
              <a16:creationId xmlns:a16="http://schemas.microsoft.com/office/drawing/2014/main" id="{FA3B1A7A-BB4A-44CB-9C33-367EE2442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91" name="Picture 390">
          <a:extLst>
            <a:ext uri="{FF2B5EF4-FFF2-40B4-BE49-F238E27FC236}">
              <a16:creationId xmlns:a16="http://schemas.microsoft.com/office/drawing/2014/main" id="{2F2B7800-7EAF-4498-8AE2-2140C09AE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92" name="Picture 391">
          <a:extLst>
            <a:ext uri="{FF2B5EF4-FFF2-40B4-BE49-F238E27FC236}">
              <a16:creationId xmlns:a16="http://schemas.microsoft.com/office/drawing/2014/main" id="{A0D8BDB3-7288-42B2-ABC3-AB097F4E8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93" name="Picture 392">
          <a:extLst>
            <a:ext uri="{FF2B5EF4-FFF2-40B4-BE49-F238E27FC236}">
              <a16:creationId xmlns:a16="http://schemas.microsoft.com/office/drawing/2014/main" id="{CCA54B9B-6CFC-4B8A-AB09-AA6344FA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94" name="Picture 393">
          <a:extLst>
            <a:ext uri="{FF2B5EF4-FFF2-40B4-BE49-F238E27FC236}">
              <a16:creationId xmlns:a16="http://schemas.microsoft.com/office/drawing/2014/main" id="{E755A200-2E4D-4F23-9106-622805681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95" name="Picture 394">
          <a:extLst>
            <a:ext uri="{FF2B5EF4-FFF2-40B4-BE49-F238E27FC236}">
              <a16:creationId xmlns:a16="http://schemas.microsoft.com/office/drawing/2014/main" id="{85EA83D7-1C4D-4AF6-8A57-EAA34EB53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96" name="Picture 395">
          <a:extLst>
            <a:ext uri="{FF2B5EF4-FFF2-40B4-BE49-F238E27FC236}">
              <a16:creationId xmlns:a16="http://schemas.microsoft.com/office/drawing/2014/main" id="{CD39F829-207F-42A1-BB00-F9D2A375D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97" name="Picture 396">
          <a:extLst>
            <a:ext uri="{FF2B5EF4-FFF2-40B4-BE49-F238E27FC236}">
              <a16:creationId xmlns:a16="http://schemas.microsoft.com/office/drawing/2014/main" id="{AA7BE315-A589-4629-84F6-AC711961E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98" name="Picture 397">
          <a:extLst>
            <a:ext uri="{FF2B5EF4-FFF2-40B4-BE49-F238E27FC236}">
              <a16:creationId xmlns:a16="http://schemas.microsoft.com/office/drawing/2014/main" id="{0A02A7B0-6662-4FBF-BD03-0065C1BF9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99" name="Picture 398">
          <a:extLst>
            <a:ext uri="{FF2B5EF4-FFF2-40B4-BE49-F238E27FC236}">
              <a16:creationId xmlns:a16="http://schemas.microsoft.com/office/drawing/2014/main" id="{5C67BA69-BB3D-464F-8680-AAFCE9B54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0" name="Picture 399">
          <a:extLst>
            <a:ext uri="{FF2B5EF4-FFF2-40B4-BE49-F238E27FC236}">
              <a16:creationId xmlns:a16="http://schemas.microsoft.com/office/drawing/2014/main" id="{1F7AE6A8-4A78-4F03-BC98-672640DA0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1" name="Picture 400">
          <a:extLst>
            <a:ext uri="{FF2B5EF4-FFF2-40B4-BE49-F238E27FC236}">
              <a16:creationId xmlns:a16="http://schemas.microsoft.com/office/drawing/2014/main" id="{9C6F91B3-C6F2-4D89-8CD2-DAC2C234E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2" name="Picture 401">
          <a:extLst>
            <a:ext uri="{FF2B5EF4-FFF2-40B4-BE49-F238E27FC236}">
              <a16:creationId xmlns:a16="http://schemas.microsoft.com/office/drawing/2014/main" id="{687C8C8F-E9EA-48E0-9343-81FF7552A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3" name="Picture 402">
          <a:extLst>
            <a:ext uri="{FF2B5EF4-FFF2-40B4-BE49-F238E27FC236}">
              <a16:creationId xmlns:a16="http://schemas.microsoft.com/office/drawing/2014/main" id="{00299ACB-59D0-4E7E-BFF5-4DD43B155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4" name="Picture 403">
          <a:extLst>
            <a:ext uri="{FF2B5EF4-FFF2-40B4-BE49-F238E27FC236}">
              <a16:creationId xmlns:a16="http://schemas.microsoft.com/office/drawing/2014/main" id="{AB70DE20-D17C-45B5-B283-7A3661E62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5" name="Picture 404">
          <a:extLst>
            <a:ext uri="{FF2B5EF4-FFF2-40B4-BE49-F238E27FC236}">
              <a16:creationId xmlns:a16="http://schemas.microsoft.com/office/drawing/2014/main" id="{9BEB1EC3-E9E1-489D-ADAF-627D5913B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6" name="Picture 405">
          <a:extLst>
            <a:ext uri="{FF2B5EF4-FFF2-40B4-BE49-F238E27FC236}">
              <a16:creationId xmlns:a16="http://schemas.microsoft.com/office/drawing/2014/main" id="{2F2B7B7F-9D8A-4241-8425-11A782B80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7" name="Picture 406">
          <a:extLst>
            <a:ext uri="{FF2B5EF4-FFF2-40B4-BE49-F238E27FC236}">
              <a16:creationId xmlns:a16="http://schemas.microsoft.com/office/drawing/2014/main" id="{0F79DA69-DA7E-4E36-A408-003BA7D98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8" name="Picture 407">
          <a:extLst>
            <a:ext uri="{FF2B5EF4-FFF2-40B4-BE49-F238E27FC236}">
              <a16:creationId xmlns:a16="http://schemas.microsoft.com/office/drawing/2014/main" id="{F4DB4D9C-111D-42EE-9D88-D0FCECE4E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09" name="Picture 408">
          <a:extLst>
            <a:ext uri="{FF2B5EF4-FFF2-40B4-BE49-F238E27FC236}">
              <a16:creationId xmlns:a16="http://schemas.microsoft.com/office/drawing/2014/main" id="{F4879A80-D7BD-44A6-8431-F46958B2E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0" name="Picture 409">
          <a:extLst>
            <a:ext uri="{FF2B5EF4-FFF2-40B4-BE49-F238E27FC236}">
              <a16:creationId xmlns:a16="http://schemas.microsoft.com/office/drawing/2014/main" id="{593A0652-D579-40AE-A508-8C0950BCF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1" name="Picture 410">
          <a:extLst>
            <a:ext uri="{FF2B5EF4-FFF2-40B4-BE49-F238E27FC236}">
              <a16:creationId xmlns:a16="http://schemas.microsoft.com/office/drawing/2014/main" id="{FC7FD6DE-69B2-4BEA-AEDF-B0C5C6399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2" name="Picture 411">
          <a:extLst>
            <a:ext uri="{FF2B5EF4-FFF2-40B4-BE49-F238E27FC236}">
              <a16:creationId xmlns:a16="http://schemas.microsoft.com/office/drawing/2014/main" id="{2924898D-1881-485E-AE31-42FA61F13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3" name="Picture 412">
          <a:extLst>
            <a:ext uri="{FF2B5EF4-FFF2-40B4-BE49-F238E27FC236}">
              <a16:creationId xmlns:a16="http://schemas.microsoft.com/office/drawing/2014/main" id="{10BA0DAC-E7D1-4C45-BA64-5DACEB75E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4" name="Picture 413">
          <a:extLst>
            <a:ext uri="{FF2B5EF4-FFF2-40B4-BE49-F238E27FC236}">
              <a16:creationId xmlns:a16="http://schemas.microsoft.com/office/drawing/2014/main" id="{50A75427-21B1-4559-AEFC-9F39E80DD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5" name="Picture 414">
          <a:extLst>
            <a:ext uri="{FF2B5EF4-FFF2-40B4-BE49-F238E27FC236}">
              <a16:creationId xmlns:a16="http://schemas.microsoft.com/office/drawing/2014/main" id="{1135ECE8-6B44-457E-AFC0-138DC5528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6" name="Picture 415">
          <a:extLst>
            <a:ext uri="{FF2B5EF4-FFF2-40B4-BE49-F238E27FC236}">
              <a16:creationId xmlns:a16="http://schemas.microsoft.com/office/drawing/2014/main" id="{3265F9F7-61CD-4F56-9356-872393789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7" name="Picture 416">
          <a:extLst>
            <a:ext uri="{FF2B5EF4-FFF2-40B4-BE49-F238E27FC236}">
              <a16:creationId xmlns:a16="http://schemas.microsoft.com/office/drawing/2014/main" id="{F9DAE08B-04FA-4E33-83B7-B0DD68C6A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8" name="Picture 417">
          <a:extLst>
            <a:ext uri="{FF2B5EF4-FFF2-40B4-BE49-F238E27FC236}">
              <a16:creationId xmlns:a16="http://schemas.microsoft.com/office/drawing/2014/main" id="{82B2B904-6FAE-44A9-A392-218E887A8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9" name="Picture 418">
          <a:extLst>
            <a:ext uri="{FF2B5EF4-FFF2-40B4-BE49-F238E27FC236}">
              <a16:creationId xmlns:a16="http://schemas.microsoft.com/office/drawing/2014/main" id="{2DB61C60-C8BF-4A2B-9885-848DBDBD3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20" name="Picture 419">
          <a:extLst>
            <a:ext uri="{FF2B5EF4-FFF2-40B4-BE49-F238E27FC236}">
              <a16:creationId xmlns:a16="http://schemas.microsoft.com/office/drawing/2014/main" id="{74D96DB5-120A-4DA2-B846-CD9417B1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21" name="Picture 420">
          <a:extLst>
            <a:ext uri="{FF2B5EF4-FFF2-40B4-BE49-F238E27FC236}">
              <a16:creationId xmlns:a16="http://schemas.microsoft.com/office/drawing/2014/main" id="{22A911A4-16CB-48E4-8BA4-F67C89374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22" name="Picture 421">
          <a:extLst>
            <a:ext uri="{FF2B5EF4-FFF2-40B4-BE49-F238E27FC236}">
              <a16:creationId xmlns:a16="http://schemas.microsoft.com/office/drawing/2014/main" id="{3ADE5B34-1187-4C8D-9833-9E137FBDC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23" name="Picture 422">
          <a:extLst>
            <a:ext uri="{FF2B5EF4-FFF2-40B4-BE49-F238E27FC236}">
              <a16:creationId xmlns:a16="http://schemas.microsoft.com/office/drawing/2014/main" id="{4A72F978-D899-4F32-8241-6D804BBB2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24" name="Picture 423">
          <a:extLst>
            <a:ext uri="{FF2B5EF4-FFF2-40B4-BE49-F238E27FC236}">
              <a16:creationId xmlns:a16="http://schemas.microsoft.com/office/drawing/2014/main" id="{E21C5986-B5E4-486F-B394-747B2B552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25" name="Picture 424">
          <a:extLst>
            <a:ext uri="{FF2B5EF4-FFF2-40B4-BE49-F238E27FC236}">
              <a16:creationId xmlns:a16="http://schemas.microsoft.com/office/drawing/2014/main" id="{1ACC6592-8C92-44A3-BE08-CDCC4AB42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26" name="Picture 425">
          <a:extLst>
            <a:ext uri="{FF2B5EF4-FFF2-40B4-BE49-F238E27FC236}">
              <a16:creationId xmlns:a16="http://schemas.microsoft.com/office/drawing/2014/main" id="{0B648F98-644E-4D36-ADE6-6DFE2ADEF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27" name="Picture 426">
          <a:extLst>
            <a:ext uri="{FF2B5EF4-FFF2-40B4-BE49-F238E27FC236}">
              <a16:creationId xmlns:a16="http://schemas.microsoft.com/office/drawing/2014/main" id="{D014CE6E-7767-494C-A0D7-27BC0C797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28" name="Picture 427">
          <a:extLst>
            <a:ext uri="{FF2B5EF4-FFF2-40B4-BE49-F238E27FC236}">
              <a16:creationId xmlns:a16="http://schemas.microsoft.com/office/drawing/2014/main" id="{D42DDEC7-4F2C-4A75-AA79-101D53CEF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29" name="Picture 428">
          <a:extLst>
            <a:ext uri="{FF2B5EF4-FFF2-40B4-BE49-F238E27FC236}">
              <a16:creationId xmlns:a16="http://schemas.microsoft.com/office/drawing/2014/main" id="{21A3BBA7-A633-4C08-91F5-2F494C0B3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0" name="Picture 429">
          <a:extLst>
            <a:ext uri="{FF2B5EF4-FFF2-40B4-BE49-F238E27FC236}">
              <a16:creationId xmlns:a16="http://schemas.microsoft.com/office/drawing/2014/main" id="{E4D74385-DE10-4B4B-BFA4-4CD4666CE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1" name="Picture 430">
          <a:extLst>
            <a:ext uri="{FF2B5EF4-FFF2-40B4-BE49-F238E27FC236}">
              <a16:creationId xmlns:a16="http://schemas.microsoft.com/office/drawing/2014/main" id="{6C08151D-BBA8-44DF-9002-350D0864A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2" name="Picture 431">
          <a:extLst>
            <a:ext uri="{FF2B5EF4-FFF2-40B4-BE49-F238E27FC236}">
              <a16:creationId xmlns:a16="http://schemas.microsoft.com/office/drawing/2014/main" id="{C72EAB2C-C2C8-40C9-A15E-67C097C92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3" name="Picture 432">
          <a:extLst>
            <a:ext uri="{FF2B5EF4-FFF2-40B4-BE49-F238E27FC236}">
              <a16:creationId xmlns:a16="http://schemas.microsoft.com/office/drawing/2014/main" id="{9E9870AB-8BC4-40A6-9A25-16FB426AB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4" name="Picture 433">
          <a:extLst>
            <a:ext uri="{FF2B5EF4-FFF2-40B4-BE49-F238E27FC236}">
              <a16:creationId xmlns:a16="http://schemas.microsoft.com/office/drawing/2014/main" id="{DF724492-E077-4890-9C6F-3F90D3976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5" name="Picture 434">
          <a:extLst>
            <a:ext uri="{FF2B5EF4-FFF2-40B4-BE49-F238E27FC236}">
              <a16:creationId xmlns:a16="http://schemas.microsoft.com/office/drawing/2014/main" id="{BE6BA885-2904-4D17-A176-F9BC4D4E4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6" name="Picture 435">
          <a:extLst>
            <a:ext uri="{FF2B5EF4-FFF2-40B4-BE49-F238E27FC236}">
              <a16:creationId xmlns:a16="http://schemas.microsoft.com/office/drawing/2014/main" id="{A5D1FB72-765C-4075-AEBF-63C54DC2B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7" name="Picture 436">
          <a:extLst>
            <a:ext uri="{FF2B5EF4-FFF2-40B4-BE49-F238E27FC236}">
              <a16:creationId xmlns:a16="http://schemas.microsoft.com/office/drawing/2014/main" id="{6B5B024A-18E8-4176-B497-CB1E0195E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8" name="Picture 437">
          <a:extLst>
            <a:ext uri="{FF2B5EF4-FFF2-40B4-BE49-F238E27FC236}">
              <a16:creationId xmlns:a16="http://schemas.microsoft.com/office/drawing/2014/main" id="{8DE81EA4-2942-4C29-9F6A-1FE3B8726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9" name="Picture 438">
          <a:extLst>
            <a:ext uri="{FF2B5EF4-FFF2-40B4-BE49-F238E27FC236}">
              <a16:creationId xmlns:a16="http://schemas.microsoft.com/office/drawing/2014/main" id="{7E0DB87E-D89C-4D13-A5C0-AEED5A394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40" name="Picture 439">
          <a:extLst>
            <a:ext uri="{FF2B5EF4-FFF2-40B4-BE49-F238E27FC236}">
              <a16:creationId xmlns:a16="http://schemas.microsoft.com/office/drawing/2014/main" id="{A0ADAA3C-1E2D-4AEF-980A-0AAC3DB83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1" name="Picture 440">
          <a:extLst>
            <a:ext uri="{FF2B5EF4-FFF2-40B4-BE49-F238E27FC236}">
              <a16:creationId xmlns:a16="http://schemas.microsoft.com/office/drawing/2014/main" id="{02E60188-3D93-4E64-BCF7-D8B96B6D9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2" name="Picture 441">
          <a:extLst>
            <a:ext uri="{FF2B5EF4-FFF2-40B4-BE49-F238E27FC236}">
              <a16:creationId xmlns:a16="http://schemas.microsoft.com/office/drawing/2014/main" id="{F0941FE3-BCD1-4C5A-A316-A1D635A93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3" name="Picture 442">
          <a:extLst>
            <a:ext uri="{FF2B5EF4-FFF2-40B4-BE49-F238E27FC236}">
              <a16:creationId xmlns:a16="http://schemas.microsoft.com/office/drawing/2014/main" id="{B0A98227-470E-451B-9363-C7B8A6DE7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4" name="Picture 443">
          <a:extLst>
            <a:ext uri="{FF2B5EF4-FFF2-40B4-BE49-F238E27FC236}">
              <a16:creationId xmlns:a16="http://schemas.microsoft.com/office/drawing/2014/main" id="{9E3E5169-EFA9-4C8A-BF2A-81C5A63A5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5" name="Picture 444">
          <a:extLst>
            <a:ext uri="{FF2B5EF4-FFF2-40B4-BE49-F238E27FC236}">
              <a16:creationId xmlns:a16="http://schemas.microsoft.com/office/drawing/2014/main" id="{FCE3B4EC-32D6-4CF3-B638-D6422007F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6" name="Picture 445">
          <a:extLst>
            <a:ext uri="{FF2B5EF4-FFF2-40B4-BE49-F238E27FC236}">
              <a16:creationId xmlns:a16="http://schemas.microsoft.com/office/drawing/2014/main" id="{74484377-5C8B-45A5-B33C-C6AEB874A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7" name="Picture 446">
          <a:extLst>
            <a:ext uri="{FF2B5EF4-FFF2-40B4-BE49-F238E27FC236}">
              <a16:creationId xmlns:a16="http://schemas.microsoft.com/office/drawing/2014/main" id="{3E6A6F8F-BE38-4AC5-8160-4B214BA09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8" name="Picture 447">
          <a:extLst>
            <a:ext uri="{FF2B5EF4-FFF2-40B4-BE49-F238E27FC236}">
              <a16:creationId xmlns:a16="http://schemas.microsoft.com/office/drawing/2014/main" id="{223BFF3E-4B20-488C-AFC6-C1000D57B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9" name="Picture 448">
          <a:extLst>
            <a:ext uri="{FF2B5EF4-FFF2-40B4-BE49-F238E27FC236}">
              <a16:creationId xmlns:a16="http://schemas.microsoft.com/office/drawing/2014/main" id="{2B850F8D-3DA3-4C03-8BAA-C7EAC3CC1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50" name="Picture 449">
          <a:extLst>
            <a:ext uri="{FF2B5EF4-FFF2-40B4-BE49-F238E27FC236}">
              <a16:creationId xmlns:a16="http://schemas.microsoft.com/office/drawing/2014/main" id="{A345A48D-A42F-4916-A68E-D0D297A88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51" name="Picture 450">
          <a:extLst>
            <a:ext uri="{FF2B5EF4-FFF2-40B4-BE49-F238E27FC236}">
              <a16:creationId xmlns:a16="http://schemas.microsoft.com/office/drawing/2014/main" id="{59D13102-212B-4F0A-A52C-352551884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52" name="Picture 451">
          <a:extLst>
            <a:ext uri="{FF2B5EF4-FFF2-40B4-BE49-F238E27FC236}">
              <a16:creationId xmlns:a16="http://schemas.microsoft.com/office/drawing/2014/main" id="{B4612F72-E0E9-40E0-8388-A8091FF82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53" name="Picture 452">
          <a:extLst>
            <a:ext uri="{FF2B5EF4-FFF2-40B4-BE49-F238E27FC236}">
              <a16:creationId xmlns:a16="http://schemas.microsoft.com/office/drawing/2014/main" id="{9876CAB6-9881-46A6-B12A-C436E696E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54" name="Picture 453">
          <a:extLst>
            <a:ext uri="{FF2B5EF4-FFF2-40B4-BE49-F238E27FC236}">
              <a16:creationId xmlns:a16="http://schemas.microsoft.com/office/drawing/2014/main" id="{036187AA-0071-4189-B7D8-D6C3358F0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55" name="Picture 454">
          <a:extLst>
            <a:ext uri="{FF2B5EF4-FFF2-40B4-BE49-F238E27FC236}">
              <a16:creationId xmlns:a16="http://schemas.microsoft.com/office/drawing/2014/main" id="{06B75625-2B52-4FB8-B78B-474EE0F84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56" name="Picture 455">
          <a:extLst>
            <a:ext uri="{FF2B5EF4-FFF2-40B4-BE49-F238E27FC236}">
              <a16:creationId xmlns:a16="http://schemas.microsoft.com/office/drawing/2014/main" id="{56AAA23C-4BE1-4066-AA87-17AE9BF9F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57" name="Picture 456">
          <a:extLst>
            <a:ext uri="{FF2B5EF4-FFF2-40B4-BE49-F238E27FC236}">
              <a16:creationId xmlns:a16="http://schemas.microsoft.com/office/drawing/2014/main" id="{84F5A67A-D7E5-4A5F-8D26-35E47E7DF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58" name="Picture 457">
          <a:extLst>
            <a:ext uri="{FF2B5EF4-FFF2-40B4-BE49-F238E27FC236}">
              <a16:creationId xmlns:a16="http://schemas.microsoft.com/office/drawing/2014/main" id="{72918A46-10C3-4B76-AA68-E2EA28B5E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59" name="Picture 458">
          <a:extLst>
            <a:ext uri="{FF2B5EF4-FFF2-40B4-BE49-F238E27FC236}">
              <a16:creationId xmlns:a16="http://schemas.microsoft.com/office/drawing/2014/main" id="{8E5D00A4-3973-475C-A05E-9119E1017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0" name="Picture 459">
          <a:extLst>
            <a:ext uri="{FF2B5EF4-FFF2-40B4-BE49-F238E27FC236}">
              <a16:creationId xmlns:a16="http://schemas.microsoft.com/office/drawing/2014/main" id="{CA3D8EFD-7185-4311-AD4A-62676CBDE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1" name="Picture 460">
          <a:extLst>
            <a:ext uri="{FF2B5EF4-FFF2-40B4-BE49-F238E27FC236}">
              <a16:creationId xmlns:a16="http://schemas.microsoft.com/office/drawing/2014/main" id="{69413EE9-3C1D-4C76-9943-D77E37289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2" name="Picture 461">
          <a:extLst>
            <a:ext uri="{FF2B5EF4-FFF2-40B4-BE49-F238E27FC236}">
              <a16:creationId xmlns:a16="http://schemas.microsoft.com/office/drawing/2014/main" id="{C27E78F7-96C2-48F9-B15D-C066FA584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3" name="Picture 462">
          <a:extLst>
            <a:ext uri="{FF2B5EF4-FFF2-40B4-BE49-F238E27FC236}">
              <a16:creationId xmlns:a16="http://schemas.microsoft.com/office/drawing/2014/main" id="{9773B390-3A2A-4988-8CE2-87EF13A27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4" name="Picture 463">
          <a:extLst>
            <a:ext uri="{FF2B5EF4-FFF2-40B4-BE49-F238E27FC236}">
              <a16:creationId xmlns:a16="http://schemas.microsoft.com/office/drawing/2014/main" id="{11D63C1C-048B-4A70-A097-02DB55DBE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5" name="Picture 464">
          <a:extLst>
            <a:ext uri="{FF2B5EF4-FFF2-40B4-BE49-F238E27FC236}">
              <a16:creationId xmlns:a16="http://schemas.microsoft.com/office/drawing/2014/main" id="{C1C57E3D-E917-4E0D-87C2-C81BEC5FC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6" name="Picture 465">
          <a:extLst>
            <a:ext uri="{FF2B5EF4-FFF2-40B4-BE49-F238E27FC236}">
              <a16:creationId xmlns:a16="http://schemas.microsoft.com/office/drawing/2014/main" id="{23462240-C569-46B3-A44D-25CFDA0B7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7" name="Picture 466">
          <a:extLst>
            <a:ext uri="{FF2B5EF4-FFF2-40B4-BE49-F238E27FC236}">
              <a16:creationId xmlns:a16="http://schemas.microsoft.com/office/drawing/2014/main" id="{108DD773-BC61-4289-B669-EAA4458EC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8" name="Picture 467">
          <a:extLst>
            <a:ext uri="{FF2B5EF4-FFF2-40B4-BE49-F238E27FC236}">
              <a16:creationId xmlns:a16="http://schemas.microsoft.com/office/drawing/2014/main" id="{E32BDAB2-11EA-4F89-8D7C-05E778F57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9" name="Picture 468">
          <a:extLst>
            <a:ext uri="{FF2B5EF4-FFF2-40B4-BE49-F238E27FC236}">
              <a16:creationId xmlns:a16="http://schemas.microsoft.com/office/drawing/2014/main" id="{736546F1-7614-4950-8F71-C08A9E950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70" name="Picture 469">
          <a:extLst>
            <a:ext uri="{FF2B5EF4-FFF2-40B4-BE49-F238E27FC236}">
              <a16:creationId xmlns:a16="http://schemas.microsoft.com/office/drawing/2014/main" id="{E7A59B93-6C2E-4BE4-B047-7E96E3CA7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71" name="Picture 470">
          <a:extLst>
            <a:ext uri="{FF2B5EF4-FFF2-40B4-BE49-F238E27FC236}">
              <a16:creationId xmlns:a16="http://schemas.microsoft.com/office/drawing/2014/main" id="{8F24454A-6B1A-4275-8E3E-DEB3DAE7C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72" name="Picture 471">
          <a:extLst>
            <a:ext uri="{FF2B5EF4-FFF2-40B4-BE49-F238E27FC236}">
              <a16:creationId xmlns:a16="http://schemas.microsoft.com/office/drawing/2014/main" id="{A6AF336A-ABAA-4203-BB5B-5266EFFF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73" name="Picture 472">
          <a:extLst>
            <a:ext uri="{FF2B5EF4-FFF2-40B4-BE49-F238E27FC236}">
              <a16:creationId xmlns:a16="http://schemas.microsoft.com/office/drawing/2014/main" id="{76140606-9EED-4317-97A9-82DBCCD4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74" name="Picture 473">
          <a:extLst>
            <a:ext uri="{FF2B5EF4-FFF2-40B4-BE49-F238E27FC236}">
              <a16:creationId xmlns:a16="http://schemas.microsoft.com/office/drawing/2014/main" id="{8FBCDCBD-8E05-43E5-AFB2-CED751133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75" name="Picture 474">
          <a:extLst>
            <a:ext uri="{FF2B5EF4-FFF2-40B4-BE49-F238E27FC236}">
              <a16:creationId xmlns:a16="http://schemas.microsoft.com/office/drawing/2014/main" id="{3664E5AE-21D1-4E8A-8DA3-EC1331DC3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76" name="Picture 475">
          <a:extLst>
            <a:ext uri="{FF2B5EF4-FFF2-40B4-BE49-F238E27FC236}">
              <a16:creationId xmlns:a16="http://schemas.microsoft.com/office/drawing/2014/main" id="{7C50E005-2C51-435D-932D-CFA992E42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77" name="Picture 476">
          <a:extLst>
            <a:ext uri="{FF2B5EF4-FFF2-40B4-BE49-F238E27FC236}">
              <a16:creationId xmlns:a16="http://schemas.microsoft.com/office/drawing/2014/main" id="{D77FC033-439D-4DD3-A90C-73DCC711F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78" name="Picture 477">
          <a:extLst>
            <a:ext uri="{FF2B5EF4-FFF2-40B4-BE49-F238E27FC236}">
              <a16:creationId xmlns:a16="http://schemas.microsoft.com/office/drawing/2014/main" id="{E31D80C4-3C71-4E20-9518-0BD9C7A8D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79" name="Picture 478">
          <a:extLst>
            <a:ext uri="{FF2B5EF4-FFF2-40B4-BE49-F238E27FC236}">
              <a16:creationId xmlns:a16="http://schemas.microsoft.com/office/drawing/2014/main" id="{810DE49C-6919-4AAF-B538-E537FC203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0" name="Picture 479">
          <a:extLst>
            <a:ext uri="{FF2B5EF4-FFF2-40B4-BE49-F238E27FC236}">
              <a16:creationId xmlns:a16="http://schemas.microsoft.com/office/drawing/2014/main" id="{BFDB5F52-A36B-4976-B8FC-B5CC5F1B2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1" name="Picture 480">
          <a:extLst>
            <a:ext uri="{FF2B5EF4-FFF2-40B4-BE49-F238E27FC236}">
              <a16:creationId xmlns:a16="http://schemas.microsoft.com/office/drawing/2014/main" id="{EF9A6068-8C2F-4942-A963-BFB322196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2" name="Picture 481">
          <a:extLst>
            <a:ext uri="{FF2B5EF4-FFF2-40B4-BE49-F238E27FC236}">
              <a16:creationId xmlns:a16="http://schemas.microsoft.com/office/drawing/2014/main" id="{A4AF0311-D38B-41D5-81F3-6E3379790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3" name="Picture 482">
          <a:extLst>
            <a:ext uri="{FF2B5EF4-FFF2-40B4-BE49-F238E27FC236}">
              <a16:creationId xmlns:a16="http://schemas.microsoft.com/office/drawing/2014/main" id="{1A9E726F-F8C6-4870-893B-E6C8DE3B8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4" name="Picture 483">
          <a:extLst>
            <a:ext uri="{FF2B5EF4-FFF2-40B4-BE49-F238E27FC236}">
              <a16:creationId xmlns:a16="http://schemas.microsoft.com/office/drawing/2014/main" id="{513CA884-23E9-4D04-BE2B-3DE946F9C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5" name="Picture 484">
          <a:extLst>
            <a:ext uri="{FF2B5EF4-FFF2-40B4-BE49-F238E27FC236}">
              <a16:creationId xmlns:a16="http://schemas.microsoft.com/office/drawing/2014/main" id="{5B9E4B9B-1F31-4C06-9343-B340D0865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6" name="Picture 485">
          <a:extLst>
            <a:ext uri="{FF2B5EF4-FFF2-40B4-BE49-F238E27FC236}">
              <a16:creationId xmlns:a16="http://schemas.microsoft.com/office/drawing/2014/main" id="{16520481-C1C3-4715-A2AE-2DBF02C90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7" name="Picture 486">
          <a:extLst>
            <a:ext uri="{FF2B5EF4-FFF2-40B4-BE49-F238E27FC236}">
              <a16:creationId xmlns:a16="http://schemas.microsoft.com/office/drawing/2014/main" id="{6D48FC05-0D30-4B23-BD82-44E8AD052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8" name="Picture 487">
          <a:extLst>
            <a:ext uri="{FF2B5EF4-FFF2-40B4-BE49-F238E27FC236}">
              <a16:creationId xmlns:a16="http://schemas.microsoft.com/office/drawing/2014/main" id="{34086DE3-F1F1-44FD-9736-B5EA1D5BF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89" name="Picture 488">
          <a:extLst>
            <a:ext uri="{FF2B5EF4-FFF2-40B4-BE49-F238E27FC236}">
              <a16:creationId xmlns:a16="http://schemas.microsoft.com/office/drawing/2014/main" id="{214C4AFE-9E9D-48A7-887C-9D7347DE7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0" name="Picture 489">
          <a:extLst>
            <a:ext uri="{FF2B5EF4-FFF2-40B4-BE49-F238E27FC236}">
              <a16:creationId xmlns:a16="http://schemas.microsoft.com/office/drawing/2014/main" id="{EBD675CF-409B-4EC0-A3E5-90E1573F1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1" name="Picture 490">
          <a:extLst>
            <a:ext uri="{FF2B5EF4-FFF2-40B4-BE49-F238E27FC236}">
              <a16:creationId xmlns:a16="http://schemas.microsoft.com/office/drawing/2014/main" id="{8B8C619B-AFEA-4A7E-BF6E-0FF01FC02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2" name="Picture 491">
          <a:extLst>
            <a:ext uri="{FF2B5EF4-FFF2-40B4-BE49-F238E27FC236}">
              <a16:creationId xmlns:a16="http://schemas.microsoft.com/office/drawing/2014/main" id="{C831D7C6-B71A-47B2-A4F7-F008E184A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3" name="Picture 492">
          <a:extLst>
            <a:ext uri="{FF2B5EF4-FFF2-40B4-BE49-F238E27FC236}">
              <a16:creationId xmlns:a16="http://schemas.microsoft.com/office/drawing/2014/main" id="{6D820CD8-6A0B-4AEC-A9A1-D2D6B112D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4" name="Picture 493">
          <a:extLst>
            <a:ext uri="{FF2B5EF4-FFF2-40B4-BE49-F238E27FC236}">
              <a16:creationId xmlns:a16="http://schemas.microsoft.com/office/drawing/2014/main" id="{4DFA034A-0E6B-4DFD-9244-54E806043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5" name="Picture 494">
          <a:extLst>
            <a:ext uri="{FF2B5EF4-FFF2-40B4-BE49-F238E27FC236}">
              <a16:creationId xmlns:a16="http://schemas.microsoft.com/office/drawing/2014/main" id="{C69773B6-1A15-446E-B198-9A5C324EF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6" name="Picture 495">
          <a:extLst>
            <a:ext uri="{FF2B5EF4-FFF2-40B4-BE49-F238E27FC236}">
              <a16:creationId xmlns:a16="http://schemas.microsoft.com/office/drawing/2014/main" id="{02AFA8A4-7879-4A43-92C5-C2B35356F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7" name="Picture 496">
          <a:extLst>
            <a:ext uri="{FF2B5EF4-FFF2-40B4-BE49-F238E27FC236}">
              <a16:creationId xmlns:a16="http://schemas.microsoft.com/office/drawing/2014/main" id="{00F00317-E305-49BC-82F5-88C396542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8" name="Picture 497">
          <a:extLst>
            <a:ext uri="{FF2B5EF4-FFF2-40B4-BE49-F238E27FC236}">
              <a16:creationId xmlns:a16="http://schemas.microsoft.com/office/drawing/2014/main" id="{E55F7D7E-5D66-4066-BF8A-91B7592B9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9" name="Picture 498">
          <a:extLst>
            <a:ext uri="{FF2B5EF4-FFF2-40B4-BE49-F238E27FC236}">
              <a16:creationId xmlns:a16="http://schemas.microsoft.com/office/drawing/2014/main" id="{21E0218C-BF5C-4222-9225-AA3DD293F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500" name="Picture 499">
          <a:extLst>
            <a:ext uri="{FF2B5EF4-FFF2-40B4-BE49-F238E27FC236}">
              <a16:creationId xmlns:a16="http://schemas.microsoft.com/office/drawing/2014/main" id="{0C3B95EC-4A77-481A-902B-946FB9E1A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501" name="Picture 500">
          <a:extLst>
            <a:ext uri="{FF2B5EF4-FFF2-40B4-BE49-F238E27FC236}">
              <a16:creationId xmlns:a16="http://schemas.microsoft.com/office/drawing/2014/main" id="{7F62CB84-5A25-41C9-8FA0-937A4D1B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502" name="Picture 501">
          <a:extLst>
            <a:ext uri="{FF2B5EF4-FFF2-40B4-BE49-F238E27FC236}">
              <a16:creationId xmlns:a16="http://schemas.microsoft.com/office/drawing/2014/main" id="{F680D813-4BBD-4B00-8D75-AE1447FDE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503" name="Picture 502">
          <a:extLst>
            <a:ext uri="{FF2B5EF4-FFF2-40B4-BE49-F238E27FC236}">
              <a16:creationId xmlns:a16="http://schemas.microsoft.com/office/drawing/2014/main" id="{5BF2FA3D-8DF6-4DFA-A3B3-5C597D34F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504" name="Picture 503">
          <a:extLst>
            <a:ext uri="{FF2B5EF4-FFF2-40B4-BE49-F238E27FC236}">
              <a16:creationId xmlns:a16="http://schemas.microsoft.com/office/drawing/2014/main" id="{EABF26DB-6711-422E-8CB6-1EC53E720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2</xdr:row>
      <xdr:rowOff>252411</xdr:rowOff>
    </xdr:from>
    <xdr:to>
      <xdr:col>14</xdr:col>
      <xdr:colOff>0</xdr:colOff>
      <xdr:row>30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A2F767-13E0-2AB6-E5E4-52C1FF6D0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847724</xdr:colOff>
      <xdr:row>30</xdr:row>
      <xdr:rowOff>4761</xdr:rowOff>
    </xdr:from>
    <xdr:to>
      <xdr:col>13</xdr:col>
      <xdr:colOff>847724</xdr:colOff>
      <xdr:row>56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5E75AD-9163-4FEA-F246-156E4E0CB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14</xdr:col>
      <xdr:colOff>0</xdr:colOff>
      <xdr:row>83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2D3308-F0F5-4C4B-B33F-2212B11C6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847724</xdr:colOff>
      <xdr:row>2</xdr:row>
      <xdr:rowOff>257174</xdr:rowOff>
    </xdr:from>
    <xdr:to>
      <xdr:col>25</xdr:col>
      <xdr:colOff>847724</xdr:colOff>
      <xdr:row>29</xdr:row>
      <xdr:rowOff>161924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BAA78A-F1D5-4654-A472-E7CB91759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30</xdr:row>
      <xdr:rowOff>0</xdr:rowOff>
    </xdr:from>
    <xdr:to>
      <xdr:col>26</xdr:col>
      <xdr:colOff>0</xdr:colOff>
      <xdr:row>57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169F0-D30E-4DE5-BF74-4F25E6EFE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57</xdr:row>
      <xdr:rowOff>0</xdr:rowOff>
    </xdr:from>
    <xdr:to>
      <xdr:col>26</xdr:col>
      <xdr:colOff>0</xdr:colOff>
      <xdr:row>84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2D3D21-C568-45F0-87A9-75FD989D3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84</xdr:row>
      <xdr:rowOff>0</xdr:rowOff>
    </xdr:from>
    <xdr:to>
      <xdr:col>26</xdr:col>
      <xdr:colOff>0</xdr:colOff>
      <xdr:row>111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B42C53-A9B9-407C-82B6-0EF0D5F89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B9446-882F-470A-9289-19336D5C5356}" name="DATA" displayName="DATA" ref="B19:J147" totalsRowShown="0" headerRowDxfId="142" dataDxfId="141" dataCellStyle="Comma">
  <autoFilter ref="B19:J147" xr:uid="{FD3B9446-882F-470A-9289-19336D5C53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A4628A1-7200-40DF-8B8C-78A6DB884B99}" name="Date" dataDxfId="140"/>
    <tableColumn id="2" xr3:uid="{775FA22A-A03F-4531-9184-96C2DC0B56B9}" name="Stream "/>
    <tableColumn id="3" xr3:uid="{3A5589B3-F2D0-4823-BE85-6A3F4B845A94}" name="Concept"/>
    <tableColumn id="4" xr3:uid="{FAE7B6F7-3057-452C-A128-E90C1F5B9A6C}" name="Avg Viewers" dataDxfId="139" dataCellStyle="Comma"/>
    <tableColumn id="5" xr3:uid="{C749CF1B-0958-4103-B9A1-C92B80647553}" name="Max Viewers" dataDxfId="138" dataCellStyle="Comma"/>
    <tableColumn id="6" xr3:uid="{6BED6F49-834F-419A-B986-CACED90A0A0B}" name="Followers Gained" dataDxfId="137" dataCellStyle="Comma"/>
    <tableColumn id="7" xr3:uid="{779B6B45-8B05-44FD-8CD1-E2471CD11AAF}" name="Hrs Streamed" dataDxfId="136"/>
    <tableColumn id="8" xr3:uid="{631A3246-2E9A-49E8-8B02-219A1D68D487}" name="Start time (PST)" dataDxfId="135"/>
    <tableColumn id="9" xr3:uid="{741D75E5-719A-49FD-81E6-A87A88C6BBD3}" name="Time Slot" dataDxfId="134" dataCellStyle="Comma">
      <calculatedColumnFormula array="1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B418C6-0188-4089-B39B-5F6985FCE5B8}" name="Table2" displayName="Table2" ref="B4:C12" totalsRowShown="0" headerRowDxfId="133">
  <autoFilter ref="B4:C12" xr:uid="{00B418C6-0188-4089-B39B-5F6985FCE5B8}">
    <filterColumn colId="0" hiddenButton="1"/>
    <filterColumn colId="1" hiddenButton="1"/>
  </autoFilter>
  <tableColumns count="2">
    <tableColumn id="1" xr3:uid="{34C497FE-8334-4B60-AA40-B88E40320EF8}" name="Assigned #" dataDxfId="132"/>
    <tableColumn id="2" xr3:uid="{1BDB4553-1A91-47AD-B0EF-FD1B77B1B47A}" name="Concep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9A3A2C-C031-4A85-8899-C7259A41FF86}" name="Table3" displayName="Table3" ref="E4:G12" totalsRowShown="0" headerRowDxfId="131">
  <autoFilter ref="E4:G12" xr:uid="{859A3A2C-C031-4A85-8899-C7259A41FF86}">
    <filterColumn colId="0" hiddenButton="1"/>
    <filterColumn colId="1" hiddenButton="1"/>
    <filterColumn colId="2" hiddenButton="1"/>
  </autoFilter>
  <tableColumns count="3">
    <tableColumn id="1" xr3:uid="{37F650F4-0698-4C1C-AFCE-D0779A141575}" name="Assigned #" dataDxfId="130"/>
    <tableColumn id="2" xr3:uid="{22DF9FA9-0064-4047-B13F-5DAA408AA0E9}" name="Time Slot (PST) Start"/>
    <tableColumn id="4" xr3:uid="{5F24C72D-C0B8-4270-84C6-01441C0EC48A}" name="Time Slot (PST) E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E79600-28D8-4448-AE28-FA20689AB631}" name="Table5" displayName="Table5" ref="C6:K14" totalsRowShown="0" headerRowDxfId="204" dataDxfId="202" headerRowBorderDxfId="203" dataCellStyle="Comma">
  <autoFilter ref="C6:K14" xr:uid="{BEE79600-28D8-4448-AE28-FA20689AB6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E2E96E8-6CEC-4383-957D-E9C4A1541A64}" name="Column1" dataDxfId="201"/>
    <tableColumn id="2" xr3:uid="{9544E9B1-3E0F-455C-BAD8-E25F082428D5}" name="Prime hours" dataDxfId="200" dataCellStyle="Comma"/>
    <tableColumn id="3" xr3:uid="{0EB6961C-B68C-4CF0-93A9-78CC9CE3D944}" name="Great times" dataDxfId="199" dataCellStyle="Comma"/>
    <tableColumn id="4" xr3:uid="{537044E5-168F-4EDD-971E-1A74AAC958A3}" name="Good times" dataDxfId="198" dataCellStyle="Comma"/>
    <tableColumn id="5" xr3:uid="{72B424AC-6935-443F-A37A-B721A4BC33EF}" name="Late-night" dataDxfId="197" dataCellStyle="Comma"/>
    <tableColumn id="6" xr3:uid="{A0D86E62-D7C6-43FE-89FA-8C8D68F5868A}" name="Early asf" dataDxfId="196" dataCellStyle="Comma"/>
    <tableColumn id="7" xr3:uid="{B572DA76-CD7B-4AEC-9468-E09B7F48C0C3}" name="GG EST Mfs" dataDxfId="195" dataCellStyle="Comma"/>
    <tableColumn id="8" xr3:uid="{96055D65-17E9-4554-985F-881D692438F7}" name="Lol" dataDxfId="194" dataCellStyle="Comma"/>
    <tableColumn id="9" xr3:uid="{F3C309DB-0EB1-4BA4-8278-ABBCCF0A3F31}" name="KeYS" dataDxfId="193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F2E402-CBDC-4D9A-9D93-6DCC69837EC2}" name="Table57" displayName="Table57" ref="C18:K26" totalsRowShown="0" headerRowDxfId="192" dataDxfId="190" headerRowBorderDxfId="191" dataCellStyle="Comma">
  <autoFilter ref="C18:K26" xr:uid="{57F2E402-CBDC-4D9A-9D93-6DCC69837E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FBF18E5-5EEC-47E7-A663-154A3B89F821}" name="Column1"/>
    <tableColumn id="2" xr3:uid="{01B74E9B-5153-42D7-823A-6DC818D93130}" name="Prime hours" dataDxfId="189" dataCellStyle="Percent">
      <calculatedColumnFormula array="1">_xlfn.IFS((D7-MAX(D7:K7))/MAX(D7:K7)=-1,"n/a",(D7-MAX(D7:K7))/MAX(D7:K7)=0,"max",(D7-MAX(D7:K7))/MAX(D7:K7),(D7-MAX(D7:K7))/MAX(D7:K7))</calculatedColumnFormula>
    </tableColumn>
    <tableColumn id="3" xr3:uid="{E6E6F257-C59E-4F88-BE28-25D8258ED45D}" name="Great times" dataDxfId="188" dataCellStyle="Percent"/>
    <tableColumn id="4" xr3:uid="{6F1869CC-C9A6-412F-B5DB-75B12C5C88C8}" name="Good times" dataDxfId="187" dataCellStyle="Percent">
      <calculatedColumnFormula array="1">_xlfn.IFS((F7-MAX(D7:K7))/MAX(D7:K7)=-1,"n/a",(F7-MAX(D7:K7))/MAX(D7:K7)=0,"max",(F7-MAX(D7:K7))/MAX(D7:K7),(F7-MAX(D7:K7))/MAX(D7:K7))</calculatedColumnFormula>
    </tableColumn>
    <tableColumn id="5" xr3:uid="{5DDAA307-CEF2-42A7-A3C2-A62C206D109D}" name="Late-night" dataDxfId="186" dataCellStyle="Percent">
      <calculatedColumnFormula array="1">_xlfn.IFS((G7-MAX(D7:K7))/MAX(D7:K7)=-1,"n/a",(G7-MAX(D7:K7))/MAX(D7:K7)=0,"max",(G7-MAX(D7:K7))/MAX(D7:K7),(G7-MAX(D7:K7))/MAX(D7:K7))</calculatedColumnFormula>
    </tableColumn>
    <tableColumn id="6" xr3:uid="{9B05AB13-5B10-48B5-AA38-EEEA63E997C3}" name="Early asf" dataDxfId="185" dataCellStyle="Percent">
      <calculatedColumnFormula array="1">_xlfn.IFS((H7-MAX(D7:K7))/MAX(D7:K7)=-1,"n/a",(H7-MAX(D7:K7))/MAX(D7:K7)=0,"max",(H7-MAX(D7:K7))/MAX(D7:K7),(H7-MAX(D7:K7))/MAX(D7:K7))</calculatedColumnFormula>
    </tableColumn>
    <tableColumn id="7" xr3:uid="{37A149BA-558B-4386-864B-9DF62E4DBE70}" name="GG EST Mfs" dataDxfId="184" dataCellStyle="Percent">
      <calculatedColumnFormula array="1">_xlfn.IFS((I7-MAX(D7:K7))/MAX(D7:K7)=-1,"n/a",(I7-MAX(D7:K7))/MAX(D7:K7)=0,"max",(I7-MAX(D7:K7))/MAX(D7:K7),(I7-MAX(D7:K7))/MAX(D7:K7))</calculatedColumnFormula>
    </tableColumn>
    <tableColumn id="8" xr3:uid="{1166F3E9-EE87-4235-9787-BA2148BF9C2B}" name="Lol" dataDxfId="183" dataCellStyle="Percent">
      <calculatedColumnFormula array="1">_xlfn.IFS((J7-MAX(D7:K7))/MAX(D7:K7)=-1,"n/a",(J7-MAX(D7:K7))/MAX(D7:K7)=0,"max",(J7-MAX(D7:K7))/MAX(D7:K7),(J7-MAX(D7:K7))/MAX(D7:K7))</calculatedColumnFormula>
    </tableColumn>
    <tableColumn id="9" xr3:uid="{8FDD0D52-41DE-4334-BA04-1998A1E64D0F}" name="KeYS" dataDxfId="182" dataCellStyle="Percent">
      <calculatedColumnFormula array="1">_xlfn.IFS((K7-MAX(D7:K7))/MAX(D7:K7)=-1,"n/a",(K7-MAX(D7:K7))/MAX(D7:K7)=0,"max",(K7-MAX(D7:K7))/MAX(D7:K7),(K7-MAX(D7:K7))/MAX(D7:K7))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AD4C08-CB4D-47FD-A8E1-D1CF8BA89050}" name="Table578" displayName="Table578" ref="C30:K38" totalsRowShown="0" headerRowDxfId="181" dataDxfId="179" headerRowBorderDxfId="180" dataCellStyle="Comma">
  <autoFilter ref="C30:K38" xr:uid="{40AD4C08-CB4D-47FD-A8E1-D1CF8BA89050}"/>
  <tableColumns count="9">
    <tableColumn id="1" xr3:uid="{31F77F6C-A171-4177-8008-786D4B1AC04B}" name="Column1"/>
    <tableColumn id="2" xr3:uid="{28122985-4CD0-40D8-98B0-49A3F89F9296}" name="Prime hours" dataDxfId="178" dataCellStyle="Percent">
      <calculatedColumnFormula>IF(D7/SUM(Table5[Prime hours])=0,"n/a",D7/SUM(Table5[Prime hours]))</calculatedColumnFormula>
    </tableColumn>
    <tableColumn id="3" xr3:uid="{49B11B49-0E9E-4832-AFA0-18180591EA67}" name="Great times" dataDxfId="177" dataCellStyle="Percent">
      <calculatedColumnFormula>IF(E7/SUM(Table5[Great times])=0,"n/a",E7/SUM(Table5[Great times]))</calculatedColumnFormula>
    </tableColumn>
    <tableColumn id="4" xr3:uid="{632ADE72-6BCD-44C8-825F-89E036479C5B}" name="Good times" dataDxfId="176" dataCellStyle="Percent">
      <calculatedColumnFormula>IF(F7/SUM(Table5[Good times])=0,"n/a",F7/SUM(Table5[Good times]))</calculatedColumnFormula>
    </tableColumn>
    <tableColumn id="5" xr3:uid="{C0385BB0-C8F6-435D-AFEF-81949431421B}" name="Late-night" dataDxfId="175" dataCellStyle="Percent">
      <calculatedColumnFormula>IF(G7/SUM(Table5[Late-night])=0,"n/a",G7/SUM(Table5[Late-night]))</calculatedColumnFormula>
    </tableColumn>
    <tableColumn id="6" xr3:uid="{E41912F4-23D6-42F1-A73B-B2F7828D5969}" name="Early asf" dataDxfId="174" dataCellStyle="Percent">
      <calculatedColumnFormula>IF(H7/SUM(Table5[Early asf])=0,"n/a",H7/SUM(Table5[Early asf]))</calculatedColumnFormula>
    </tableColumn>
    <tableColumn id="7" xr3:uid="{31EAFF5A-4966-4F33-A545-33BB27FFFF36}" name="GG EST Mfs" dataDxfId="173" dataCellStyle="Percent">
      <calculatedColumnFormula>IF(I7/SUM(Table5[GG EST Mfs])=0,"n/a",I7/SUM(Table5[GG EST Mfs]))</calculatedColumnFormula>
    </tableColumn>
    <tableColumn id="8" xr3:uid="{C211D02A-6831-4C04-BFA2-69915F92603E}" name="Lol" dataDxfId="172" dataCellStyle="Percent">
      <calculatedColumnFormula>IF(J7/SUM(Table5[Lol])=0,"n/a",J7/SUM(Table5[Lol]))</calculatedColumnFormula>
    </tableColumn>
    <tableColumn id="9" xr3:uid="{7FDA5478-5F6F-478A-A88F-CE4AD909319D}" name="KeYS" dataDxfId="171" dataCellStyle="Percent">
      <calculatedColumnFormula>IF(K7/SUM(Table5[KeYS])=0,"n/a",K7/SUM(Table5[KeYS]))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2FD02A-3B6F-44DE-B00D-6C069DB1766C}" name="Table5785" displayName="Table5785" ref="C43:K51" totalsRowShown="0" headerRowDxfId="170" dataDxfId="168" headerRowBorderDxfId="169" dataCellStyle="Comma">
  <autoFilter ref="C43:K51" xr:uid="{282FD02A-3B6F-44DE-B00D-6C069DB1766C}"/>
  <tableColumns count="9">
    <tableColumn id="1" xr3:uid="{4212DAC9-DBC9-413A-88D5-C55C869BB287}" name="Column1"/>
    <tableColumn id="2" xr3:uid="{386AC37B-C7B0-4EF5-8DF9-EEF6E23E349E}" name="Prime hours" dataDxfId="167" dataCellStyle="Comma"/>
    <tableColumn id="3" xr3:uid="{11BD8AA0-C882-4F4C-ABD7-24ACDFC15C27}" name="Great times" dataDxfId="166" dataCellStyle="Comma"/>
    <tableColumn id="4" xr3:uid="{1B7C6CB7-B0D6-4656-8A55-B3425727B38B}" name="Good times" dataDxfId="165" dataCellStyle="Comma"/>
    <tableColumn id="5" xr3:uid="{CF67CA98-4B91-4886-ADC7-6D7AC27BDADE}" name="Late-night" dataDxfId="164" dataCellStyle="Comma"/>
    <tableColumn id="6" xr3:uid="{6AA1A101-C775-4F04-B30C-F3C0E245121F}" name="Early asf" dataDxfId="163" dataCellStyle="Comma"/>
    <tableColumn id="7" xr3:uid="{5E3004F2-4B02-4CF4-8B36-F95658CEB6E8}" name="GG EST Mfs" dataDxfId="162" dataCellStyle="Comma"/>
    <tableColumn id="8" xr3:uid="{4E433473-62E7-4B15-8AB2-992AFAAE29E4}" name="Lol" dataDxfId="161" dataCellStyle="Comma"/>
    <tableColumn id="9" xr3:uid="{22E8B566-4F42-4CC8-BDC9-68E584FE0CFF}" name="KeYS" dataDxfId="160" dataCellStyle="Com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FC0FD9-1A9C-400C-B00D-E0C7895CDAFC}" name="Table57859" displayName="Table57859" ref="C55:K63" totalsRowShown="0" headerRowDxfId="159" dataDxfId="157" headerRowBorderDxfId="158" dataCellStyle="Comma">
  <autoFilter ref="C55:K63" xr:uid="{D7FC0FD9-1A9C-400C-B00D-E0C7895CDAFC}"/>
  <tableColumns count="9">
    <tableColumn id="1" xr3:uid="{3A7BC6D0-7851-480D-B343-8B616B146172}" name="Column1"/>
    <tableColumn id="2" xr3:uid="{2CBAEC83-4940-4B26-94A9-B71E049358B9}" name="Prime hours" dataDxfId="156" dataCellStyle="Comma">
      <calculatedColumnFormula array="1">IFERROR((D7+D44)/((SUM(IF('Concept(s) Analysis Breakdown'!$J$6:$J$17='Concept(s) Analysis Breakdown'!N8,'Concept(s) Analysis Breakdown'!$F$6:$F$17)))/SUM(IF('Concept(s) Analysis Breakdown'!$J$6:$J$17='Concept(s) Analysis Breakdown'!N8,1,0))),"n/a")</calculatedColumnFormula>
    </tableColumn>
    <tableColumn id="3" xr3:uid="{F90600B9-B039-4437-B091-EAEEFFCB3B78}" name="Great times" dataDxfId="155" dataCellStyle="Comma">
      <calculatedColumnFormula>IFERROR((E44+E7)/100,"n/a")</calculatedColumnFormula>
    </tableColumn>
    <tableColumn id="4" xr3:uid="{289961C5-C84B-43B7-B89A-7EC2CFC211D0}" name="Good times" dataDxfId="154" dataCellStyle="Comma">
      <calculatedColumnFormula>IFERROR((F44+F7)/100,"n/a")</calculatedColumnFormula>
    </tableColumn>
    <tableColumn id="5" xr3:uid="{1DCAB5C3-95A3-478E-8BD3-D9F2E51FE0F1}" name="Late-night" dataDxfId="153" dataCellStyle="Comma">
      <calculatedColumnFormula>IFERROR((G44+G7)/100,"n/a")</calculatedColumnFormula>
    </tableColumn>
    <tableColumn id="6" xr3:uid="{99DCB769-BEDB-46FB-987A-985B173BAF3D}" name="Early asf" dataDxfId="152" dataCellStyle="Comma">
      <calculatedColumnFormula>IFERROR((H44+H7)/100,"n/a")</calculatedColumnFormula>
    </tableColumn>
    <tableColumn id="7" xr3:uid="{75A1E65E-EF22-48DE-9D09-FC96D3B00AEA}" name="GG EST Mfs" dataDxfId="151" dataCellStyle="Comma">
      <calculatedColumnFormula>IFERROR((I44+I7)/100,"n/a")</calculatedColumnFormula>
    </tableColumn>
    <tableColumn id="8" xr3:uid="{FA2BF091-3414-4C2F-BDA3-FED9EFCF9676}" name="Lol" dataDxfId="150" dataCellStyle="Comma">
      <calculatedColumnFormula>IFERROR((J44+J7)/100,"n/a")</calculatedColumnFormula>
    </tableColumn>
    <tableColumn id="9" xr3:uid="{BF42BB51-20F9-4EF9-B8B8-929F8D7BF907}" name="KeYS" dataDxfId="149" dataCellStyle="Comma">
      <calculatedColumnFormula>IFERROR((K44+K7)/100,"n/a")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ED317B-364F-445E-BC77-CD7D6BA0C785}" name="Table10" displayName="Table10" ref="C76:H89" totalsRowShown="0" headerRowDxfId="148" dataDxfId="147" dataCellStyle="Comma">
  <autoFilter ref="C76:H89" xr:uid="{5BED317B-364F-445E-BC77-CD7D6BA0C7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F2CB345-D6F3-41B2-8AE4-AD4E501A89F3}" name="Months"/>
    <tableColumn id="2" xr3:uid="{12BAB5FB-ABA0-4044-A29D-CD872A1D2652}" name="Hrs Streamed" dataDxfId="146" dataCellStyle="Comma"/>
    <tableColumn id="3" xr3:uid="{D2130332-418E-4E39-AEFC-517AA5D77265}" name="FG" dataDxfId="145" dataCellStyle="Comma"/>
    <tableColumn id="4" xr3:uid="{0BCD9BC3-19B9-4EDA-94A0-9ABF236BA12D}" name="FG/Hr" dataDxfId="144" dataCellStyle="Comma"/>
    <tableColumn id="5" xr3:uid="{9CCECEE7-A0B4-4F9B-A460-C7D59DBFF4F8}" name="Avg Viewers"/>
    <tableColumn id="6" xr3:uid="{DB311E9C-E4B5-4F13-A87D-5EE0A93ED072}" name="M/M△, AV" dataDxfId="143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0BE6-00B1-4DC3-A040-312DEA61B6A0}">
  <dimension ref="B2:L147"/>
  <sheetViews>
    <sheetView tabSelected="1" zoomScale="125" zoomScaleNormal="125" workbookViewId="0">
      <selection activeCell="F145" sqref="F145"/>
    </sheetView>
  </sheetViews>
  <sheetFormatPr defaultColWidth="13.28515625" defaultRowHeight="12.75" x14ac:dyDescent="0.2"/>
  <cols>
    <col min="2" max="2" width="12.85546875" customWidth="1"/>
    <col min="3" max="3" width="36.7109375" customWidth="1"/>
    <col min="4" max="4" width="10.5703125" customWidth="1"/>
    <col min="5" max="5" width="18.7109375" style="5" customWidth="1"/>
    <col min="6" max="6" width="20.42578125" style="5" customWidth="1"/>
    <col min="7" max="7" width="19.140625" style="5" customWidth="1"/>
    <col min="8" max="8" width="15.42578125" style="4" customWidth="1"/>
    <col min="9" max="9" width="17.42578125" customWidth="1"/>
    <col min="10" max="10" width="15.7109375" customWidth="1"/>
    <col min="12" max="12" width="13.28515625" customWidth="1"/>
  </cols>
  <sheetData>
    <row r="2" spans="2:8" ht="18" x14ac:dyDescent="0.25">
      <c r="B2" s="37" t="s">
        <v>132</v>
      </c>
      <c r="C2" s="38"/>
      <c r="D2" s="38"/>
      <c r="E2" s="37" t="s">
        <v>131</v>
      </c>
      <c r="F2"/>
      <c r="G2"/>
      <c r="H2"/>
    </row>
    <row r="3" spans="2:8" x14ac:dyDescent="0.2">
      <c r="E3"/>
      <c r="F3"/>
      <c r="G3"/>
      <c r="H3"/>
    </row>
    <row r="4" spans="2:8" s="14" customFormat="1" ht="15" customHeight="1" x14ac:dyDescent="0.2">
      <c r="B4" s="13" t="s">
        <v>2</v>
      </c>
      <c r="C4" s="12" t="s">
        <v>8</v>
      </c>
      <c r="E4" s="13" t="s">
        <v>2</v>
      </c>
      <c r="F4" s="12" t="s">
        <v>112</v>
      </c>
      <c r="G4" s="12" t="s">
        <v>113</v>
      </c>
    </row>
    <row r="5" spans="2:8" x14ac:dyDescent="0.2">
      <c r="B5" s="8">
        <v>1</v>
      </c>
      <c r="C5" t="s">
        <v>23</v>
      </c>
      <c r="E5" s="8" t="s">
        <v>116</v>
      </c>
      <c r="F5" s="7">
        <v>0.33333333333333331</v>
      </c>
      <c r="G5" s="7">
        <v>0.45763888888888887</v>
      </c>
      <c r="H5"/>
    </row>
    <row r="6" spans="2:8" x14ac:dyDescent="0.2">
      <c r="B6" s="8">
        <v>2</v>
      </c>
      <c r="C6" t="s">
        <v>9</v>
      </c>
      <c r="E6" s="8" t="s">
        <v>117</v>
      </c>
      <c r="F6" s="7">
        <v>0.45833333333333331</v>
      </c>
      <c r="G6" s="7">
        <v>0.58263888888888893</v>
      </c>
      <c r="H6"/>
    </row>
    <row r="7" spans="2:8" x14ac:dyDescent="0.2">
      <c r="B7" s="8">
        <v>3</v>
      </c>
      <c r="C7" t="s">
        <v>3</v>
      </c>
      <c r="E7" s="8" t="s">
        <v>118</v>
      </c>
      <c r="F7" s="7">
        <v>0.58333333333333337</v>
      </c>
      <c r="G7" s="7">
        <v>0.70763888888888893</v>
      </c>
      <c r="H7"/>
    </row>
    <row r="8" spans="2:8" x14ac:dyDescent="0.2">
      <c r="B8" s="8">
        <v>4</v>
      </c>
      <c r="C8" t="s">
        <v>13</v>
      </c>
      <c r="E8" s="8" t="s">
        <v>121</v>
      </c>
      <c r="F8" s="7">
        <v>0.70833333333333337</v>
      </c>
      <c r="G8" s="7">
        <v>0.83263888888888893</v>
      </c>
      <c r="H8"/>
    </row>
    <row r="9" spans="2:8" x14ac:dyDescent="0.2">
      <c r="B9" s="8">
        <v>5</v>
      </c>
      <c r="C9" t="s">
        <v>181</v>
      </c>
      <c r="E9" s="8" t="s">
        <v>119</v>
      </c>
      <c r="F9" s="7">
        <v>0.83333333333333337</v>
      </c>
      <c r="G9" s="7">
        <v>0.91597222222222219</v>
      </c>
      <c r="H9"/>
    </row>
    <row r="10" spans="2:8" x14ac:dyDescent="0.2">
      <c r="B10" s="8">
        <v>6</v>
      </c>
      <c r="C10" t="s">
        <v>20</v>
      </c>
      <c r="E10" s="8" t="s">
        <v>115</v>
      </c>
      <c r="F10" s="7">
        <v>0.91666666666666663</v>
      </c>
      <c r="G10" s="7">
        <v>0.99930555555555556</v>
      </c>
      <c r="H10"/>
    </row>
    <row r="11" spans="2:8" x14ac:dyDescent="0.2">
      <c r="B11" s="8">
        <v>7</v>
      </c>
      <c r="C11" t="s">
        <v>51</v>
      </c>
      <c r="E11" s="8" t="s">
        <v>120</v>
      </c>
      <c r="F11" s="7">
        <v>0</v>
      </c>
      <c r="G11" s="7">
        <v>8.2638888888888887E-2</v>
      </c>
      <c r="H11"/>
    </row>
    <row r="12" spans="2:8" x14ac:dyDescent="0.2">
      <c r="B12" s="8">
        <v>8</v>
      </c>
      <c r="C12" t="s">
        <v>68</v>
      </c>
      <c r="E12" s="8" t="s">
        <v>114</v>
      </c>
      <c r="F12" s="7">
        <v>8.3333333333333329E-2</v>
      </c>
      <c r="G12" s="7">
        <v>0.33263888888888887</v>
      </c>
      <c r="H12"/>
    </row>
    <row r="13" spans="2:8" x14ac:dyDescent="0.2">
      <c r="E13"/>
      <c r="F13"/>
      <c r="G13"/>
      <c r="H13"/>
    </row>
    <row r="14" spans="2:8" x14ac:dyDescent="0.2">
      <c r="E14"/>
      <c r="F14"/>
      <c r="G14"/>
      <c r="H14"/>
    </row>
    <row r="15" spans="2:8" x14ac:dyDescent="0.2">
      <c r="E15"/>
      <c r="F15"/>
      <c r="G15"/>
      <c r="H15"/>
    </row>
    <row r="16" spans="2:8" x14ac:dyDescent="0.2">
      <c r="E16"/>
      <c r="F16"/>
      <c r="G16"/>
      <c r="H16"/>
    </row>
    <row r="17" spans="2:10" ht="26.25" x14ac:dyDescent="0.4">
      <c r="B17" s="36" t="s">
        <v>130</v>
      </c>
      <c r="E17"/>
      <c r="F17"/>
      <c r="G17"/>
      <c r="H17"/>
    </row>
    <row r="18" spans="2:10" x14ac:dyDescent="0.2">
      <c r="E18"/>
      <c r="F18"/>
      <c r="G18"/>
      <c r="H18"/>
    </row>
    <row r="19" spans="2:10" s="14" customFormat="1" ht="15" customHeight="1" x14ac:dyDescent="0.2">
      <c r="B19" s="12" t="s">
        <v>0</v>
      </c>
      <c r="C19" s="12" t="s">
        <v>10</v>
      </c>
      <c r="D19" s="12" t="s">
        <v>8</v>
      </c>
      <c r="E19" s="12" t="s">
        <v>4</v>
      </c>
      <c r="F19" s="12" t="s">
        <v>5</v>
      </c>
      <c r="G19" s="12" t="s">
        <v>6</v>
      </c>
      <c r="H19" s="12" t="s">
        <v>7</v>
      </c>
      <c r="I19" s="12" t="s">
        <v>37</v>
      </c>
      <c r="J19" s="13" t="s">
        <v>111</v>
      </c>
    </row>
    <row r="20" spans="2:10" x14ac:dyDescent="0.2">
      <c r="B20" s="2">
        <v>45967</v>
      </c>
      <c r="C20" t="s">
        <v>1</v>
      </c>
      <c r="D20">
        <v>1</v>
      </c>
      <c r="E20" s="5">
        <v>3296</v>
      </c>
      <c r="F20" s="5">
        <v>3808</v>
      </c>
      <c r="G20" s="5">
        <v>293</v>
      </c>
      <c r="H20" s="3">
        <v>6.3</v>
      </c>
      <c r="I20" s="6">
        <v>0.82847222222222228</v>
      </c>
      <c r="J20" s="10" t="str" cm="1">
        <f t="array" ref="J20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21" spans="2:10" x14ac:dyDescent="0.2">
      <c r="B21" s="2">
        <v>45968</v>
      </c>
      <c r="C21" t="s">
        <v>17</v>
      </c>
      <c r="D21">
        <v>2</v>
      </c>
      <c r="E21" s="5">
        <v>3532</v>
      </c>
      <c r="F21" s="5">
        <v>4734</v>
      </c>
      <c r="G21" s="5">
        <v>433</v>
      </c>
      <c r="H21" s="4">
        <v>5.4</v>
      </c>
      <c r="I21" s="7">
        <v>0.7006944444444444</v>
      </c>
      <c r="J21" s="10" t="str" cm="1">
        <f t="array" ref="J21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22" spans="2:10" x14ac:dyDescent="0.2">
      <c r="B22" s="2">
        <v>45969</v>
      </c>
      <c r="C22" t="s">
        <v>12</v>
      </c>
      <c r="D22">
        <v>2</v>
      </c>
      <c r="E22" s="5">
        <v>3297</v>
      </c>
      <c r="F22" s="5">
        <v>4237</v>
      </c>
      <c r="G22" s="5">
        <v>434</v>
      </c>
      <c r="H22" s="4">
        <v>6.8</v>
      </c>
      <c r="I22" s="7">
        <v>0.72847222222222219</v>
      </c>
      <c r="J22" s="10" t="str" cm="1">
        <f t="array" ref="J22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23" spans="2:10" x14ac:dyDescent="0.2">
      <c r="B23" s="2">
        <v>45971</v>
      </c>
      <c r="C23" t="s">
        <v>11</v>
      </c>
      <c r="D23">
        <v>2</v>
      </c>
      <c r="E23" s="5">
        <v>3604</v>
      </c>
      <c r="F23" s="5">
        <v>4505</v>
      </c>
      <c r="G23" s="5">
        <v>621</v>
      </c>
      <c r="H23" s="4">
        <v>14.9</v>
      </c>
      <c r="I23" s="7">
        <v>0.50138888888888888</v>
      </c>
      <c r="J23" s="10" t="str" cm="1">
        <f t="array" ref="J23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24" spans="2:10" x14ac:dyDescent="0.2">
      <c r="B24" s="2">
        <v>45972</v>
      </c>
      <c r="C24" t="s">
        <v>14</v>
      </c>
      <c r="D24">
        <v>5</v>
      </c>
      <c r="E24" s="5">
        <v>5557</v>
      </c>
      <c r="F24" s="5">
        <v>9005</v>
      </c>
      <c r="G24" s="5">
        <v>524</v>
      </c>
      <c r="H24" s="4">
        <v>9.1999999999999993</v>
      </c>
      <c r="I24" s="7">
        <v>0.71805555555555556</v>
      </c>
      <c r="J24" s="10" t="str" cm="1">
        <f t="array" ref="J24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25" spans="2:10" x14ac:dyDescent="0.2">
      <c r="B25" s="2">
        <v>45973</v>
      </c>
      <c r="C25" t="s">
        <v>15</v>
      </c>
      <c r="D25">
        <v>4</v>
      </c>
      <c r="E25" s="5">
        <v>3918</v>
      </c>
      <c r="F25" s="5">
        <v>7881</v>
      </c>
      <c r="G25" s="5">
        <v>801</v>
      </c>
      <c r="H25" s="4">
        <v>12.2</v>
      </c>
      <c r="I25" s="7">
        <v>0.71180555555555558</v>
      </c>
      <c r="J25" s="10" t="str" cm="1">
        <f t="array" ref="J25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26" spans="2:10" x14ac:dyDescent="0.2">
      <c r="B26" s="2">
        <v>45974</v>
      </c>
      <c r="C26" t="s">
        <v>16</v>
      </c>
      <c r="D26">
        <v>3</v>
      </c>
      <c r="E26" s="5">
        <v>4302</v>
      </c>
      <c r="F26" s="5">
        <v>5867</v>
      </c>
      <c r="G26" s="5">
        <v>609</v>
      </c>
      <c r="H26" s="4">
        <v>7.4</v>
      </c>
      <c r="I26" s="7">
        <v>0.87638888888888888</v>
      </c>
      <c r="J26" s="10" t="str" cm="1">
        <f t="array" ref="J26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Late-night</v>
      </c>
    </row>
    <row r="27" spans="2:10" x14ac:dyDescent="0.2">
      <c r="B27" s="2">
        <v>45975</v>
      </c>
      <c r="C27" t="s">
        <v>18</v>
      </c>
      <c r="D27">
        <v>5</v>
      </c>
      <c r="E27" s="5">
        <v>2420</v>
      </c>
      <c r="F27" s="5">
        <v>3161</v>
      </c>
      <c r="G27" s="5">
        <v>239</v>
      </c>
      <c r="H27" s="4">
        <v>2.6</v>
      </c>
      <c r="I27" s="7">
        <v>0.61458333333333337</v>
      </c>
      <c r="J27" s="10" t="str" cm="1">
        <f t="array" ref="J27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28" spans="2:10" x14ac:dyDescent="0.2">
      <c r="B28" s="2">
        <v>45976</v>
      </c>
      <c r="C28" t="s">
        <v>19</v>
      </c>
      <c r="D28">
        <v>6</v>
      </c>
      <c r="E28" s="5">
        <v>5387</v>
      </c>
      <c r="F28" s="5">
        <v>6738</v>
      </c>
      <c r="G28" s="5">
        <v>534</v>
      </c>
      <c r="H28" s="4">
        <v>4.9000000000000004</v>
      </c>
      <c r="I28" s="7">
        <v>0.76249999999999996</v>
      </c>
      <c r="J28" s="10" t="str" cm="1">
        <f t="array" ref="J28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29" spans="2:10" x14ac:dyDescent="0.2">
      <c r="B29" s="2">
        <v>45977</v>
      </c>
      <c r="C29" t="s">
        <v>21</v>
      </c>
      <c r="D29">
        <v>1</v>
      </c>
      <c r="E29" s="5">
        <v>3922</v>
      </c>
      <c r="F29" s="5">
        <v>8648</v>
      </c>
      <c r="G29" s="5">
        <v>528</v>
      </c>
      <c r="H29" s="4">
        <v>3.9</v>
      </c>
      <c r="I29" s="7">
        <v>0.5</v>
      </c>
      <c r="J29" s="10" t="str" cm="1">
        <f t="array" ref="J29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30" spans="2:10" x14ac:dyDescent="0.2">
      <c r="B30" s="2">
        <v>45978</v>
      </c>
      <c r="C30" t="s">
        <v>22</v>
      </c>
      <c r="D30">
        <v>5</v>
      </c>
      <c r="E30" s="5">
        <v>4468</v>
      </c>
      <c r="F30" s="5">
        <v>6084</v>
      </c>
      <c r="G30" s="5">
        <v>769</v>
      </c>
      <c r="H30">
        <v>9.9</v>
      </c>
      <c r="I30" s="7">
        <v>0.57499999999999996</v>
      </c>
      <c r="J30" s="10" t="str" cm="1">
        <f t="array" ref="J30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31" spans="2:10" x14ac:dyDescent="0.2">
      <c r="B31" s="2">
        <v>45979</v>
      </c>
      <c r="C31" t="s">
        <v>24</v>
      </c>
      <c r="D31">
        <v>1</v>
      </c>
      <c r="E31" s="5">
        <v>3496</v>
      </c>
      <c r="F31" s="5">
        <v>7090</v>
      </c>
      <c r="G31" s="5">
        <v>521</v>
      </c>
      <c r="H31" s="4">
        <v>10.1</v>
      </c>
      <c r="I31" s="7">
        <v>0.85416666666666663</v>
      </c>
      <c r="J31" s="10" t="str" cm="1">
        <f t="array" ref="J31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Late-night</v>
      </c>
    </row>
    <row r="32" spans="2:10" x14ac:dyDescent="0.2">
      <c r="B32" s="2">
        <v>45981</v>
      </c>
      <c r="C32" t="s">
        <v>25</v>
      </c>
      <c r="D32">
        <v>3</v>
      </c>
      <c r="E32" s="5">
        <v>3596</v>
      </c>
      <c r="F32" s="5">
        <v>4158</v>
      </c>
      <c r="G32" s="5">
        <v>98</v>
      </c>
      <c r="H32" s="4">
        <v>1.5</v>
      </c>
      <c r="I32" s="7">
        <v>0.81458333333333333</v>
      </c>
      <c r="J32" s="10" t="str" cm="1">
        <f t="array" ref="J32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33" spans="2:10" x14ac:dyDescent="0.2">
      <c r="B33" s="2">
        <v>45982</v>
      </c>
      <c r="C33" t="s">
        <v>26</v>
      </c>
      <c r="D33">
        <v>3</v>
      </c>
      <c r="E33" s="5">
        <v>4810</v>
      </c>
      <c r="F33" s="5">
        <v>7628</v>
      </c>
      <c r="G33" s="5">
        <v>506</v>
      </c>
      <c r="H33" s="4">
        <v>6.4</v>
      </c>
      <c r="I33" s="7">
        <v>0.7104166666666667</v>
      </c>
      <c r="J33" s="10" t="str" cm="1">
        <f t="array" ref="J33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34" spans="2:10" x14ac:dyDescent="0.2">
      <c r="B34" s="2">
        <v>45983</v>
      </c>
      <c r="C34" t="s">
        <v>44</v>
      </c>
      <c r="D34">
        <v>5</v>
      </c>
      <c r="E34" s="5">
        <v>3519</v>
      </c>
      <c r="F34" s="5">
        <v>4758</v>
      </c>
      <c r="G34" s="5">
        <v>733</v>
      </c>
      <c r="H34" s="4">
        <v>13.5</v>
      </c>
      <c r="I34" s="7">
        <v>0.82361111111111107</v>
      </c>
      <c r="J34" s="10" t="str" cm="1">
        <f t="array" ref="J34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35" spans="2:10" x14ac:dyDescent="0.2">
      <c r="B35" s="2">
        <v>45984</v>
      </c>
      <c r="C35" t="s">
        <v>27</v>
      </c>
      <c r="D35">
        <v>5</v>
      </c>
      <c r="E35" s="5">
        <v>3146</v>
      </c>
      <c r="F35" s="5">
        <v>4094</v>
      </c>
      <c r="G35" s="5">
        <v>371</v>
      </c>
      <c r="H35" s="4">
        <v>7.9</v>
      </c>
      <c r="I35" s="7">
        <v>0.78541666666666665</v>
      </c>
      <c r="J35" s="10" t="str" cm="1">
        <f t="array" ref="J35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36" spans="2:10" x14ac:dyDescent="0.2">
      <c r="B36" s="2">
        <v>45985</v>
      </c>
      <c r="C36" t="s">
        <v>28</v>
      </c>
      <c r="D36">
        <v>3</v>
      </c>
      <c r="E36" s="5">
        <v>4839</v>
      </c>
      <c r="F36" s="5">
        <v>7731</v>
      </c>
      <c r="G36" s="5">
        <v>541</v>
      </c>
      <c r="H36" s="4">
        <v>7.7</v>
      </c>
      <c r="I36" s="7">
        <v>0.85763888888888884</v>
      </c>
      <c r="J36" s="10" t="str" cm="1">
        <f t="array" ref="J36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Late-night</v>
      </c>
    </row>
    <row r="37" spans="2:10" x14ac:dyDescent="0.2">
      <c r="B37" s="2">
        <v>45987</v>
      </c>
      <c r="C37" t="s">
        <v>30</v>
      </c>
      <c r="D37">
        <v>2</v>
      </c>
      <c r="E37" s="5">
        <v>5500</v>
      </c>
      <c r="F37" s="5">
        <v>10079</v>
      </c>
      <c r="G37" s="5">
        <v>1191</v>
      </c>
      <c r="H37" s="4">
        <v>11.5</v>
      </c>
      <c r="I37" s="7">
        <v>0.51458333333333328</v>
      </c>
      <c r="J37" s="10" t="str" cm="1">
        <f t="array" ref="J37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38" spans="2:10" x14ac:dyDescent="0.2">
      <c r="B38" s="2">
        <v>45988</v>
      </c>
      <c r="C38" t="s">
        <v>29</v>
      </c>
      <c r="D38">
        <v>5</v>
      </c>
      <c r="E38" s="5">
        <v>9347</v>
      </c>
      <c r="F38" s="5">
        <v>13034</v>
      </c>
      <c r="G38" s="5">
        <v>592</v>
      </c>
      <c r="H38" s="4">
        <v>5.3</v>
      </c>
      <c r="I38" s="7">
        <v>0.7631944444444444</v>
      </c>
      <c r="J38" s="10" t="str" cm="1">
        <f t="array" ref="J38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39" spans="2:10" x14ac:dyDescent="0.2">
      <c r="B39" s="2">
        <v>45990</v>
      </c>
      <c r="C39" t="s">
        <v>31</v>
      </c>
      <c r="D39">
        <v>2</v>
      </c>
      <c r="E39" s="5">
        <v>3876</v>
      </c>
      <c r="F39" s="5">
        <v>5282</v>
      </c>
      <c r="G39" s="5">
        <v>513</v>
      </c>
      <c r="H39" s="4">
        <v>13.2</v>
      </c>
      <c r="I39" s="7">
        <v>0.59305555555555556</v>
      </c>
      <c r="J39" s="10" t="str" cm="1">
        <f t="array" ref="J39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40" spans="2:10" x14ac:dyDescent="0.2">
      <c r="B40" s="2">
        <v>45992</v>
      </c>
      <c r="C40" t="s">
        <v>32</v>
      </c>
      <c r="D40">
        <v>1</v>
      </c>
      <c r="E40" s="5">
        <v>3006</v>
      </c>
      <c r="F40" s="5">
        <v>4264</v>
      </c>
      <c r="G40" s="5">
        <v>338</v>
      </c>
      <c r="H40" s="4">
        <v>10</v>
      </c>
      <c r="I40" s="7">
        <v>0.73888888888888893</v>
      </c>
      <c r="J40" s="10" t="str" cm="1">
        <f t="array" ref="J40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41" spans="2:10" x14ac:dyDescent="0.2">
      <c r="B41" s="2">
        <v>45993</v>
      </c>
      <c r="C41" t="s">
        <v>33</v>
      </c>
      <c r="D41">
        <v>2</v>
      </c>
      <c r="E41" s="5">
        <v>3541</v>
      </c>
      <c r="F41" s="5">
        <v>4288</v>
      </c>
      <c r="G41" s="5">
        <v>320</v>
      </c>
      <c r="H41" s="4">
        <v>5.9</v>
      </c>
      <c r="I41" s="7">
        <v>0.65902777777777777</v>
      </c>
      <c r="J41" s="10" t="str" cm="1">
        <f t="array" ref="J41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42" spans="2:10" x14ac:dyDescent="0.2">
      <c r="B42" s="2">
        <v>45996</v>
      </c>
      <c r="C42" t="s">
        <v>34</v>
      </c>
      <c r="D42">
        <v>5</v>
      </c>
      <c r="E42" s="5">
        <v>3291</v>
      </c>
      <c r="F42" s="5">
        <v>3858</v>
      </c>
      <c r="G42" s="5">
        <v>192</v>
      </c>
      <c r="H42" s="4">
        <v>6.6</v>
      </c>
      <c r="I42" s="7">
        <v>0.63680555555555551</v>
      </c>
      <c r="J42" s="10" t="str" cm="1">
        <f t="array" ref="J42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43" spans="2:10" x14ac:dyDescent="0.2">
      <c r="B43" s="2">
        <v>45997</v>
      </c>
      <c r="C43" t="s">
        <v>35</v>
      </c>
      <c r="D43">
        <v>7</v>
      </c>
      <c r="E43" s="5">
        <v>2987</v>
      </c>
      <c r="F43" s="5">
        <v>6110</v>
      </c>
      <c r="G43" s="5">
        <v>387</v>
      </c>
      <c r="H43" s="4">
        <v>2.1</v>
      </c>
      <c r="I43" s="7">
        <v>0.65069444444444446</v>
      </c>
      <c r="J43" s="10" t="str" cm="1">
        <f t="array" ref="J43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44" spans="2:10" x14ac:dyDescent="0.2">
      <c r="B44" s="2">
        <v>45997</v>
      </c>
      <c r="C44" t="s">
        <v>36</v>
      </c>
      <c r="D44">
        <v>1</v>
      </c>
      <c r="E44" s="5">
        <v>9774</v>
      </c>
      <c r="F44" s="5">
        <v>15325</v>
      </c>
      <c r="G44" s="5">
        <v>802</v>
      </c>
      <c r="H44" s="4">
        <v>3.7</v>
      </c>
      <c r="I44" s="7">
        <v>0.95833333333333337</v>
      </c>
      <c r="J44" s="10" t="str" cm="1">
        <f t="array" ref="J44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GG EST mfs</v>
      </c>
    </row>
    <row r="45" spans="2:10" x14ac:dyDescent="0.2">
      <c r="B45" s="2">
        <v>45998</v>
      </c>
      <c r="C45" t="s">
        <v>38</v>
      </c>
      <c r="D45">
        <v>2</v>
      </c>
      <c r="E45" s="5">
        <v>6260</v>
      </c>
      <c r="F45" s="5">
        <v>14074</v>
      </c>
      <c r="G45" s="5">
        <v>923</v>
      </c>
      <c r="H45" s="4">
        <v>8.3000000000000007</v>
      </c>
      <c r="I45" s="7">
        <v>0.8041666666666667</v>
      </c>
      <c r="J45" s="10" t="str" cm="1">
        <f t="array" ref="J45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46" spans="2:10" x14ac:dyDescent="0.2">
      <c r="B46" s="2">
        <v>46000</v>
      </c>
      <c r="C46" t="s">
        <v>40</v>
      </c>
      <c r="D46">
        <v>6</v>
      </c>
      <c r="E46" s="5">
        <v>5596</v>
      </c>
      <c r="F46" s="5">
        <v>7642</v>
      </c>
      <c r="G46" s="5">
        <v>1279</v>
      </c>
      <c r="H46" s="4">
        <v>13.7</v>
      </c>
      <c r="I46" s="7">
        <v>0.65347222222222223</v>
      </c>
      <c r="J46" s="10" t="str" cm="1">
        <f t="array" ref="J46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47" spans="2:10" x14ac:dyDescent="0.2">
      <c r="B47" s="2">
        <v>46001</v>
      </c>
      <c r="C47" t="s">
        <v>39</v>
      </c>
      <c r="D47">
        <v>6</v>
      </c>
      <c r="E47" s="5">
        <v>5815</v>
      </c>
      <c r="F47" s="5">
        <v>7846</v>
      </c>
      <c r="G47" s="5">
        <v>749</v>
      </c>
      <c r="H47" s="4">
        <v>10.8</v>
      </c>
      <c r="I47" s="7">
        <v>0.72638888888888886</v>
      </c>
      <c r="J47" s="10" t="str" cm="1">
        <f t="array" ref="J47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48" spans="2:10" x14ac:dyDescent="0.2">
      <c r="B48" s="2">
        <v>46002</v>
      </c>
      <c r="C48" t="s">
        <v>41</v>
      </c>
      <c r="D48">
        <v>3</v>
      </c>
      <c r="E48" s="5">
        <v>3557</v>
      </c>
      <c r="F48" s="5">
        <v>4763</v>
      </c>
      <c r="G48" s="5">
        <v>480</v>
      </c>
      <c r="H48" s="4">
        <v>11.8</v>
      </c>
      <c r="I48" s="7">
        <v>0.62847222222222221</v>
      </c>
      <c r="J48" s="10" t="str" cm="1">
        <f t="array" ref="J48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49" spans="2:10" x14ac:dyDescent="0.2">
      <c r="B49" s="2">
        <v>46004</v>
      </c>
      <c r="C49" t="s">
        <v>42</v>
      </c>
      <c r="D49">
        <v>3</v>
      </c>
      <c r="E49" s="5">
        <v>4752</v>
      </c>
      <c r="F49" s="5">
        <v>6973</v>
      </c>
      <c r="G49" s="5">
        <v>540</v>
      </c>
      <c r="H49" s="4">
        <v>10.8</v>
      </c>
      <c r="I49" s="7">
        <v>0.59375</v>
      </c>
      <c r="J49" s="10" t="str" cm="1">
        <f t="array" ref="J49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50" spans="2:10" x14ac:dyDescent="0.2">
      <c r="B50" s="2">
        <v>46005</v>
      </c>
      <c r="C50" t="s">
        <v>43</v>
      </c>
      <c r="D50">
        <v>5</v>
      </c>
      <c r="E50" s="5">
        <v>4178</v>
      </c>
      <c r="F50" s="5">
        <v>5449</v>
      </c>
      <c r="G50" s="5">
        <v>688</v>
      </c>
      <c r="H50" s="4">
        <v>8.8000000000000007</v>
      </c>
      <c r="I50" s="7">
        <v>0.80069444444444449</v>
      </c>
      <c r="J50" s="10" t="str" cm="1">
        <f t="array" ref="J50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51" spans="2:10" x14ac:dyDescent="0.2">
      <c r="B51" s="2">
        <v>46006</v>
      </c>
      <c r="C51" t="s">
        <v>45</v>
      </c>
      <c r="D51">
        <v>5</v>
      </c>
      <c r="E51" s="5">
        <v>3327</v>
      </c>
      <c r="F51" s="5">
        <v>4846</v>
      </c>
      <c r="G51" s="5">
        <v>218</v>
      </c>
      <c r="H51" s="4">
        <v>4.3</v>
      </c>
      <c r="I51" s="7">
        <v>0.50416666666666665</v>
      </c>
      <c r="J51" s="10" t="str" cm="1">
        <f t="array" ref="J51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52" spans="2:10" x14ac:dyDescent="0.2">
      <c r="B52" s="2">
        <v>46007</v>
      </c>
      <c r="C52" t="s">
        <v>46</v>
      </c>
      <c r="D52">
        <v>6</v>
      </c>
      <c r="E52" s="5">
        <v>5016</v>
      </c>
      <c r="F52" s="5">
        <v>6480</v>
      </c>
      <c r="G52" s="5">
        <v>396</v>
      </c>
      <c r="H52" s="4">
        <v>7.5</v>
      </c>
      <c r="I52" s="7">
        <v>0.92152777777777772</v>
      </c>
      <c r="J52" s="10" t="str" cm="1">
        <f t="array" ref="J52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GG EST mfs</v>
      </c>
    </row>
    <row r="53" spans="2:10" x14ac:dyDescent="0.2">
      <c r="B53" s="2">
        <v>46009</v>
      </c>
      <c r="C53" t="s">
        <v>47</v>
      </c>
      <c r="D53">
        <v>1</v>
      </c>
      <c r="E53" s="5">
        <v>5665</v>
      </c>
      <c r="F53" s="5">
        <v>10676</v>
      </c>
      <c r="G53" s="5">
        <v>244</v>
      </c>
      <c r="H53" s="4">
        <v>5.7</v>
      </c>
      <c r="I53" s="7">
        <v>0.78541666666666665</v>
      </c>
      <c r="J53" s="10" t="str" cm="1">
        <f t="array" ref="J53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54" spans="2:10" x14ac:dyDescent="0.2">
      <c r="B54" s="2">
        <v>46010</v>
      </c>
      <c r="C54" t="s">
        <v>48</v>
      </c>
      <c r="D54">
        <v>4</v>
      </c>
      <c r="E54" s="5">
        <v>7345</v>
      </c>
      <c r="F54" s="5">
        <v>11817</v>
      </c>
      <c r="G54" s="5">
        <v>807</v>
      </c>
      <c r="H54" s="4">
        <v>9.6999999999999993</v>
      </c>
      <c r="I54" s="7">
        <v>0.6958333333333333</v>
      </c>
      <c r="J54" s="10" t="str" cm="1">
        <f t="array" ref="J54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55" spans="2:10" x14ac:dyDescent="0.2">
      <c r="B55" s="2">
        <v>46011</v>
      </c>
      <c r="C55" t="s">
        <v>49</v>
      </c>
      <c r="D55">
        <v>2</v>
      </c>
      <c r="E55" s="5">
        <v>4906</v>
      </c>
      <c r="F55" s="5">
        <v>6021</v>
      </c>
      <c r="G55" s="5">
        <v>241</v>
      </c>
      <c r="H55" s="4">
        <v>5</v>
      </c>
      <c r="I55" s="7">
        <v>0.78194444444444444</v>
      </c>
      <c r="J55" s="10" t="str" cm="1">
        <f t="array" ref="J55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56" spans="2:10" x14ac:dyDescent="0.2">
      <c r="B56" s="2">
        <v>46012</v>
      </c>
      <c r="C56" t="s">
        <v>50</v>
      </c>
      <c r="D56">
        <v>7</v>
      </c>
      <c r="E56" s="5">
        <v>6643</v>
      </c>
      <c r="F56" s="5">
        <v>11966</v>
      </c>
      <c r="G56" s="5">
        <v>655</v>
      </c>
      <c r="H56" s="4">
        <v>9.9</v>
      </c>
      <c r="I56" s="7">
        <v>0.68194444444444446</v>
      </c>
      <c r="J56" s="10" t="str" cm="1">
        <f t="array" ref="J56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57" spans="2:10" x14ac:dyDescent="0.2">
      <c r="B57" s="2">
        <v>46013</v>
      </c>
      <c r="C57" t="s">
        <v>52</v>
      </c>
      <c r="D57">
        <v>2</v>
      </c>
      <c r="E57" s="5">
        <v>5472</v>
      </c>
      <c r="F57" s="5">
        <v>7261</v>
      </c>
      <c r="G57" s="5">
        <v>695</v>
      </c>
      <c r="H57" s="4">
        <v>7.1</v>
      </c>
      <c r="I57" s="7">
        <v>0.58333333333333337</v>
      </c>
      <c r="J57" s="10" t="str" cm="1">
        <f t="array" ref="J57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58" spans="2:10" x14ac:dyDescent="0.2">
      <c r="B58" s="2">
        <v>46014</v>
      </c>
      <c r="C58" t="s">
        <v>53</v>
      </c>
      <c r="D58">
        <v>4</v>
      </c>
      <c r="E58" s="5">
        <v>12243</v>
      </c>
      <c r="F58" s="5">
        <v>17633</v>
      </c>
      <c r="G58" s="5">
        <v>1245</v>
      </c>
      <c r="H58" s="4">
        <v>7.6</v>
      </c>
      <c r="I58" s="7">
        <v>0.57499999999999996</v>
      </c>
      <c r="J58" s="10" t="str" cm="1">
        <f t="array" ref="J58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59" spans="2:10" x14ac:dyDescent="0.2">
      <c r="B59" s="2">
        <v>46017</v>
      </c>
      <c r="C59" t="s">
        <v>54</v>
      </c>
      <c r="D59">
        <v>1</v>
      </c>
      <c r="E59" s="5">
        <v>10220</v>
      </c>
      <c r="F59" s="5">
        <v>19088</v>
      </c>
      <c r="G59" s="5">
        <v>1451</v>
      </c>
      <c r="H59" s="4">
        <v>10.1</v>
      </c>
      <c r="I59" s="7">
        <v>0.66388888888888886</v>
      </c>
      <c r="J59" s="10" t="str" cm="1">
        <f t="array" ref="J59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60" spans="2:10" x14ac:dyDescent="0.2">
      <c r="B60" s="2">
        <v>46020</v>
      </c>
      <c r="C60" t="s">
        <v>55</v>
      </c>
      <c r="D60">
        <v>2</v>
      </c>
      <c r="E60" s="5">
        <v>3313</v>
      </c>
      <c r="F60" s="5">
        <v>4107</v>
      </c>
      <c r="G60" s="5">
        <v>269</v>
      </c>
      <c r="H60" s="4">
        <v>4.3</v>
      </c>
      <c r="I60" s="7">
        <v>0.7</v>
      </c>
      <c r="J60" s="10" t="str" cm="1">
        <f t="array" ref="J60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61" spans="2:10" x14ac:dyDescent="0.2">
      <c r="B61" s="2">
        <v>46021</v>
      </c>
      <c r="C61" t="s">
        <v>56</v>
      </c>
      <c r="D61">
        <v>5</v>
      </c>
      <c r="E61" s="5">
        <v>5016</v>
      </c>
      <c r="F61" s="5">
        <v>8267</v>
      </c>
      <c r="G61" s="5">
        <v>881</v>
      </c>
      <c r="H61" s="4">
        <v>12.4</v>
      </c>
      <c r="I61" s="7">
        <v>0.69374999999999998</v>
      </c>
      <c r="J61" s="10" t="str" cm="1">
        <f t="array" ref="J61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62" spans="2:10" x14ac:dyDescent="0.2">
      <c r="B62" s="2">
        <v>46022</v>
      </c>
      <c r="C62" t="s">
        <v>57</v>
      </c>
      <c r="D62">
        <v>5</v>
      </c>
      <c r="E62" s="5">
        <v>6045</v>
      </c>
      <c r="F62" s="5">
        <v>9010</v>
      </c>
      <c r="G62" s="5">
        <v>295</v>
      </c>
      <c r="H62" s="4">
        <v>10.1</v>
      </c>
      <c r="I62" s="7">
        <v>0.83333333333333337</v>
      </c>
      <c r="J62" s="10" t="str" cm="1">
        <f t="array" ref="J62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Late-night</v>
      </c>
    </row>
    <row r="63" spans="2:10" x14ac:dyDescent="0.2">
      <c r="B63" s="2">
        <v>46023</v>
      </c>
      <c r="C63" t="s">
        <v>58</v>
      </c>
      <c r="D63">
        <v>1</v>
      </c>
      <c r="E63" s="5">
        <v>4008</v>
      </c>
      <c r="F63" s="5">
        <v>5374</v>
      </c>
      <c r="G63" s="5">
        <v>227</v>
      </c>
      <c r="H63" s="4">
        <v>5.0999999999999996</v>
      </c>
      <c r="I63" s="7">
        <v>0.9506944444444444</v>
      </c>
      <c r="J63" s="10" t="str" cm="1">
        <f t="array" ref="J63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GG EST mfs</v>
      </c>
    </row>
    <row r="64" spans="2:10" x14ac:dyDescent="0.2">
      <c r="B64" s="2">
        <v>46025</v>
      </c>
      <c r="C64" t="s">
        <v>59</v>
      </c>
      <c r="D64">
        <v>4</v>
      </c>
      <c r="E64" s="5">
        <v>6838</v>
      </c>
      <c r="F64" s="5">
        <v>7666</v>
      </c>
      <c r="G64" s="5">
        <v>514</v>
      </c>
      <c r="H64" s="4">
        <v>4</v>
      </c>
      <c r="I64" s="7">
        <v>0.60902777777777772</v>
      </c>
      <c r="J64" s="10" t="str" cm="1">
        <f t="array" ref="J64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65" spans="2:10" x14ac:dyDescent="0.2">
      <c r="B65" s="2">
        <v>46026</v>
      </c>
      <c r="C65" t="s">
        <v>60</v>
      </c>
      <c r="D65">
        <v>5</v>
      </c>
      <c r="E65" s="5">
        <v>4845</v>
      </c>
      <c r="F65" s="5">
        <v>7142</v>
      </c>
      <c r="G65" s="5">
        <v>501</v>
      </c>
      <c r="H65" s="4">
        <v>8</v>
      </c>
      <c r="I65" s="7">
        <v>0.8305555555555556</v>
      </c>
      <c r="J65" s="10" t="str" cm="1">
        <f t="array" ref="J65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66" spans="2:10" x14ac:dyDescent="0.2">
      <c r="B66" s="2">
        <v>46027</v>
      </c>
      <c r="C66" t="s">
        <v>61</v>
      </c>
      <c r="D66">
        <v>5</v>
      </c>
      <c r="E66" s="5">
        <v>6665</v>
      </c>
      <c r="F66" s="5">
        <v>21692</v>
      </c>
      <c r="G66" s="5">
        <v>1141</v>
      </c>
      <c r="H66" s="4">
        <v>11.5</v>
      </c>
      <c r="I66" s="7">
        <v>0.64236111111111116</v>
      </c>
      <c r="J66" s="10" t="str" cm="1">
        <f t="array" ref="J66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67" spans="2:10" x14ac:dyDescent="0.2">
      <c r="B67" s="2">
        <v>46028</v>
      </c>
      <c r="C67" t="s">
        <v>62</v>
      </c>
      <c r="D67">
        <v>2</v>
      </c>
      <c r="E67" s="5">
        <v>7780</v>
      </c>
      <c r="F67" s="5">
        <v>16710</v>
      </c>
      <c r="G67" s="5">
        <v>1143</v>
      </c>
      <c r="H67" s="4">
        <v>10.3</v>
      </c>
      <c r="I67" s="7">
        <v>0.69097222222222221</v>
      </c>
      <c r="J67" s="10" t="str" cm="1">
        <f t="array" ref="J67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68" spans="2:10" x14ac:dyDescent="0.2">
      <c r="B68" s="2">
        <v>46030</v>
      </c>
      <c r="C68" t="s">
        <v>63</v>
      </c>
      <c r="D68">
        <v>3</v>
      </c>
      <c r="E68" s="5">
        <v>2565</v>
      </c>
      <c r="F68" s="5">
        <v>2777</v>
      </c>
      <c r="G68" s="5">
        <v>100</v>
      </c>
      <c r="H68" s="4">
        <v>2</v>
      </c>
      <c r="I68" s="7">
        <v>0.59166666666666667</v>
      </c>
      <c r="J68" s="10" t="str" cm="1">
        <f t="array" ref="J68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69" spans="2:10" x14ac:dyDescent="0.2">
      <c r="B69" s="2">
        <v>46031</v>
      </c>
      <c r="C69" t="s">
        <v>64</v>
      </c>
      <c r="D69">
        <v>5</v>
      </c>
      <c r="E69" s="5">
        <v>4680</v>
      </c>
      <c r="F69" s="5">
        <v>8300</v>
      </c>
      <c r="G69" s="5">
        <v>1048</v>
      </c>
      <c r="H69" s="4">
        <v>17.8</v>
      </c>
      <c r="I69" s="7">
        <v>0.51736111111111116</v>
      </c>
      <c r="J69" s="10" t="str" cm="1">
        <f t="array" ref="J69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70" spans="2:10" x14ac:dyDescent="0.2">
      <c r="B70" s="2">
        <v>46033</v>
      </c>
      <c r="C70" t="s">
        <v>65</v>
      </c>
      <c r="D70">
        <v>1</v>
      </c>
      <c r="E70" s="5">
        <v>5384</v>
      </c>
      <c r="F70" s="5">
        <v>7099</v>
      </c>
      <c r="G70" s="5">
        <v>367</v>
      </c>
      <c r="H70" s="4">
        <v>6.4</v>
      </c>
      <c r="I70" s="7">
        <v>0.94513888888888886</v>
      </c>
      <c r="J70" s="10" t="str" cm="1">
        <f t="array" ref="J70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GG EST mfs</v>
      </c>
    </row>
    <row r="71" spans="2:10" x14ac:dyDescent="0.2">
      <c r="B71" s="2">
        <v>46034</v>
      </c>
      <c r="C71" t="s">
        <v>67</v>
      </c>
      <c r="D71">
        <v>2</v>
      </c>
      <c r="E71" s="5">
        <v>3900</v>
      </c>
      <c r="F71" s="5">
        <v>6861</v>
      </c>
      <c r="G71" s="5">
        <v>635</v>
      </c>
      <c r="H71" s="4">
        <v>12.4</v>
      </c>
      <c r="I71" s="7">
        <v>0.63194444444444442</v>
      </c>
      <c r="J71" s="10" t="str" cm="1">
        <f t="array" ref="J71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72" spans="2:10" x14ac:dyDescent="0.2">
      <c r="B72" s="2">
        <v>46035</v>
      </c>
      <c r="C72" t="s">
        <v>66</v>
      </c>
      <c r="D72">
        <v>5</v>
      </c>
      <c r="E72" s="5">
        <v>3682</v>
      </c>
      <c r="F72" s="5">
        <v>5063</v>
      </c>
      <c r="G72" s="5">
        <v>456</v>
      </c>
      <c r="H72" s="4">
        <v>12.6</v>
      </c>
      <c r="I72" s="7">
        <v>0.56736111111111109</v>
      </c>
      <c r="J72" s="10" t="str" cm="1">
        <f t="array" ref="J72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73" spans="2:10" x14ac:dyDescent="0.2">
      <c r="B73" s="2">
        <v>46036</v>
      </c>
      <c r="C73" t="s">
        <v>69</v>
      </c>
      <c r="D73">
        <v>2</v>
      </c>
      <c r="E73" s="5">
        <v>4456</v>
      </c>
      <c r="F73" s="5">
        <v>5317</v>
      </c>
      <c r="G73" s="5">
        <v>492</v>
      </c>
      <c r="H73" s="4">
        <v>4.5</v>
      </c>
      <c r="I73" s="7">
        <v>0.55902777777777779</v>
      </c>
      <c r="J73" s="10" t="str" cm="1">
        <f t="array" ref="J73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74" spans="2:10" x14ac:dyDescent="0.2">
      <c r="B74" s="2">
        <v>46037</v>
      </c>
      <c r="C74" t="s">
        <v>70</v>
      </c>
      <c r="D74">
        <v>2</v>
      </c>
      <c r="E74" s="5">
        <v>4305</v>
      </c>
      <c r="F74" s="5">
        <v>9727</v>
      </c>
      <c r="G74" s="5">
        <v>554</v>
      </c>
      <c r="H74" s="4">
        <v>11.1</v>
      </c>
      <c r="I74" s="7">
        <v>0.5805555555555556</v>
      </c>
      <c r="J74" s="10" t="str" cm="1">
        <f t="array" ref="J74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75" spans="2:10" x14ac:dyDescent="0.2">
      <c r="B75" s="2">
        <v>46039</v>
      </c>
      <c r="C75" t="s">
        <v>71</v>
      </c>
      <c r="D75">
        <v>5</v>
      </c>
      <c r="E75" s="5">
        <v>6959</v>
      </c>
      <c r="F75" s="5">
        <v>9048</v>
      </c>
      <c r="G75" s="5">
        <v>460</v>
      </c>
      <c r="H75" s="4">
        <v>8.5</v>
      </c>
      <c r="I75" s="7">
        <v>0.73263888888888884</v>
      </c>
      <c r="J75" s="10" t="str" cm="1">
        <f t="array" ref="J75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76" spans="2:10" x14ac:dyDescent="0.2">
      <c r="B76" s="2">
        <v>46040</v>
      </c>
      <c r="C76" t="s">
        <v>72</v>
      </c>
      <c r="D76">
        <v>2</v>
      </c>
      <c r="E76" s="5">
        <v>4797</v>
      </c>
      <c r="F76" s="5">
        <v>7394</v>
      </c>
      <c r="G76" s="5">
        <v>1386</v>
      </c>
      <c r="H76" s="4">
        <v>10.1</v>
      </c>
      <c r="I76" s="7">
        <v>0.57499999999999996</v>
      </c>
      <c r="J76" s="10" t="str" cm="1">
        <f t="array" ref="J76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77" spans="2:10" x14ac:dyDescent="0.2">
      <c r="B77" s="2">
        <v>46041</v>
      </c>
      <c r="C77" t="s">
        <v>73</v>
      </c>
      <c r="D77">
        <v>7</v>
      </c>
      <c r="E77" s="5">
        <v>6404</v>
      </c>
      <c r="F77" s="5">
        <v>9394</v>
      </c>
      <c r="G77" s="5">
        <v>631</v>
      </c>
      <c r="H77" s="4">
        <v>10.5</v>
      </c>
      <c r="I77" s="7">
        <v>0.78611111111111109</v>
      </c>
      <c r="J77" s="10" t="str" cm="1">
        <f t="array" ref="J77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78" spans="2:10" x14ac:dyDescent="0.2">
      <c r="B78" s="2">
        <v>46042</v>
      </c>
      <c r="C78" t="s">
        <v>74</v>
      </c>
      <c r="D78">
        <v>2</v>
      </c>
      <c r="E78" s="5">
        <v>4745</v>
      </c>
      <c r="F78" s="5">
        <v>7147</v>
      </c>
      <c r="G78" s="5">
        <v>417</v>
      </c>
      <c r="H78" s="4">
        <v>9.4</v>
      </c>
      <c r="I78" s="7">
        <v>0.7631944444444444</v>
      </c>
      <c r="J78" s="10" t="str" cm="1">
        <f t="array" ref="J78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79" spans="2:10" x14ac:dyDescent="0.2">
      <c r="B79" s="2">
        <v>46045</v>
      </c>
      <c r="C79" t="s">
        <v>75</v>
      </c>
      <c r="D79">
        <v>2</v>
      </c>
      <c r="E79" s="5">
        <v>4079</v>
      </c>
      <c r="F79" s="5">
        <v>6171</v>
      </c>
      <c r="G79" s="5">
        <v>316</v>
      </c>
      <c r="H79" s="4">
        <v>10.3</v>
      </c>
      <c r="I79" s="7">
        <v>0.60347222222222219</v>
      </c>
      <c r="J79" s="10" t="str" cm="1">
        <f t="array" ref="J79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80" spans="2:10" x14ac:dyDescent="0.2">
      <c r="B80" s="2">
        <v>46047</v>
      </c>
      <c r="C80" t="s">
        <v>76</v>
      </c>
      <c r="D80">
        <v>4</v>
      </c>
      <c r="E80" s="5">
        <v>10685</v>
      </c>
      <c r="F80" s="5">
        <v>14418</v>
      </c>
      <c r="G80" s="5">
        <v>1280</v>
      </c>
      <c r="H80" s="4">
        <v>11.4</v>
      </c>
      <c r="I80" s="7">
        <v>0.44513888888888886</v>
      </c>
      <c r="J80" s="10" t="str" cm="1">
        <f t="array" ref="J80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Early asf</v>
      </c>
    </row>
    <row r="81" spans="2:10" x14ac:dyDescent="0.2">
      <c r="B81" s="2">
        <v>46049</v>
      </c>
      <c r="C81" t="s">
        <v>77</v>
      </c>
      <c r="D81">
        <v>2</v>
      </c>
      <c r="E81" s="5">
        <v>5423</v>
      </c>
      <c r="F81" s="5">
        <v>7410</v>
      </c>
      <c r="G81" s="5">
        <v>399</v>
      </c>
      <c r="H81" s="4">
        <v>6.7</v>
      </c>
      <c r="I81" s="7">
        <v>0.84791666666666665</v>
      </c>
      <c r="J81" s="10" t="str" cm="1">
        <f t="array" ref="J81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Late-night</v>
      </c>
    </row>
    <row r="82" spans="2:10" x14ac:dyDescent="0.2">
      <c r="B82" s="2">
        <v>46051</v>
      </c>
      <c r="C82" t="s">
        <v>78</v>
      </c>
      <c r="D82">
        <v>2</v>
      </c>
      <c r="E82" s="5">
        <v>5689</v>
      </c>
      <c r="F82" s="5">
        <v>11032</v>
      </c>
      <c r="G82" s="5">
        <v>1323</v>
      </c>
      <c r="H82" s="4">
        <v>15.1</v>
      </c>
      <c r="I82" s="7">
        <v>0.56041666666666667</v>
      </c>
      <c r="J82" s="10" t="str" cm="1">
        <f t="array" ref="J82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83" spans="2:10" x14ac:dyDescent="0.2">
      <c r="B83" s="2">
        <v>46052</v>
      </c>
      <c r="C83" t="s">
        <v>79</v>
      </c>
      <c r="D83">
        <v>2</v>
      </c>
      <c r="E83" s="5">
        <v>5325</v>
      </c>
      <c r="F83" s="5">
        <v>8524</v>
      </c>
      <c r="G83" s="5">
        <v>466</v>
      </c>
      <c r="H83" s="4">
        <v>6.1</v>
      </c>
      <c r="I83" s="7">
        <v>0.86041666666666672</v>
      </c>
      <c r="J83" s="10" t="str" cm="1">
        <f t="array" ref="J83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Late-night</v>
      </c>
    </row>
    <row r="84" spans="2:10" x14ac:dyDescent="0.2">
      <c r="B84" s="2">
        <v>46053</v>
      </c>
      <c r="C84" t="s">
        <v>80</v>
      </c>
      <c r="D84">
        <v>2</v>
      </c>
      <c r="E84" s="5">
        <v>11590</v>
      </c>
      <c r="F84" s="5">
        <v>15132</v>
      </c>
      <c r="G84" s="5">
        <v>645</v>
      </c>
      <c r="H84" s="4">
        <v>4.3</v>
      </c>
      <c r="I84" s="7">
        <v>0.55208333333333337</v>
      </c>
      <c r="J84" s="10" t="str" cm="1">
        <f t="array" ref="J84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85" spans="2:10" x14ac:dyDescent="0.2">
      <c r="B85" s="2">
        <v>46053</v>
      </c>
      <c r="C85" t="s">
        <v>81</v>
      </c>
      <c r="D85">
        <v>3</v>
      </c>
      <c r="E85" s="5">
        <v>11554</v>
      </c>
      <c r="F85" s="5">
        <v>21997</v>
      </c>
      <c r="G85" s="5">
        <v>828</v>
      </c>
      <c r="H85" s="4">
        <v>6.7</v>
      </c>
      <c r="I85" s="7">
        <v>0.86319444444444449</v>
      </c>
      <c r="J85" s="10" t="str" cm="1">
        <f t="array" ref="J85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Late-night</v>
      </c>
    </row>
    <row r="86" spans="2:10" x14ac:dyDescent="0.2">
      <c r="B86" s="2">
        <v>46054</v>
      </c>
      <c r="C86" t="s">
        <v>82</v>
      </c>
      <c r="D86">
        <v>2</v>
      </c>
      <c r="E86" s="5">
        <v>5914</v>
      </c>
      <c r="F86" s="5">
        <v>9309</v>
      </c>
      <c r="G86" s="5">
        <v>1221</v>
      </c>
      <c r="H86" s="4">
        <v>10.1</v>
      </c>
      <c r="I86" s="7">
        <v>0.6166666666666667</v>
      </c>
      <c r="J86" s="10" t="str" cm="1">
        <f t="array" ref="J86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87" spans="2:10" x14ac:dyDescent="0.2">
      <c r="B87" s="2">
        <v>46057</v>
      </c>
      <c r="C87" t="s">
        <v>83</v>
      </c>
      <c r="D87">
        <v>4</v>
      </c>
      <c r="E87" s="5">
        <v>10511</v>
      </c>
      <c r="F87" s="5">
        <v>18238</v>
      </c>
      <c r="G87" s="5">
        <v>3831</v>
      </c>
      <c r="H87" s="4">
        <v>21.9</v>
      </c>
      <c r="I87" s="7">
        <v>0.76875000000000004</v>
      </c>
      <c r="J87" s="10" t="str" cm="1">
        <f t="array" ref="J87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88" spans="2:10" x14ac:dyDescent="0.2">
      <c r="B88" s="2">
        <v>46059</v>
      </c>
      <c r="C88" t="s">
        <v>84</v>
      </c>
      <c r="D88">
        <v>4</v>
      </c>
      <c r="E88" s="5">
        <v>6815</v>
      </c>
      <c r="F88" s="5">
        <v>8260</v>
      </c>
      <c r="G88" s="5">
        <v>638</v>
      </c>
      <c r="H88" s="4">
        <v>8.9</v>
      </c>
      <c r="I88" s="7">
        <v>0.88194444444444442</v>
      </c>
      <c r="J88" s="10" t="str" cm="1">
        <f t="array" ref="J88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Late-night</v>
      </c>
    </row>
    <row r="89" spans="2:10" x14ac:dyDescent="0.2">
      <c r="B89" s="2">
        <v>46061</v>
      </c>
      <c r="C89" t="s">
        <v>85</v>
      </c>
      <c r="D89">
        <v>4</v>
      </c>
      <c r="E89" s="5">
        <v>5102</v>
      </c>
      <c r="F89" s="5">
        <v>7057</v>
      </c>
      <c r="G89" s="5">
        <v>217</v>
      </c>
      <c r="H89" s="4">
        <v>4</v>
      </c>
      <c r="I89" s="7">
        <v>0.11458333333333333</v>
      </c>
      <c r="J89" s="10" t="str" cm="1">
        <f t="array" ref="J89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KeYS</v>
      </c>
    </row>
    <row r="90" spans="2:10" x14ac:dyDescent="0.2">
      <c r="B90" s="2">
        <v>46061</v>
      </c>
      <c r="C90" t="s">
        <v>86</v>
      </c>
      <c r="D90">
        <v>4</v>
      </c>
      <c r="E90" s="5">
        <v>8637</v>
      </c>
      <c r="F90" s="5">
        <v>10534</v>
      </c>
      <c r="G90" s="5">
        <v>570</v>
      </c>
      <c r="H90" s="4">
        <v>5.9</v>
      </c>
      <c r="I90" s="7">
        <v>0.86805555555555558</v>
      </c>
      <c r="J90" s="10" t="str" cm="1">
        <f t="array" ref="J90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Late-night</v>
      </c>
    </row>
    <row r="91" spans="2:10" x14ac:dyDescent="0.2">
      <c r="B91" s="2">
        <v>46063</v>
      </c>
      <c r="C91" t="s">
        <v>87</v>
      </c>
      <c r="D91">
        <v>4</v>
      </c>
      <c r="E91" s="5">
        <v>6538</v>
      </c>
      <c r="F91" s="5">
        <v>9311</v>
      </c>
      <c r="G91" s="5">
        <v>564</v>
      </c>
      <c r="H91" s="4">
        <v>6</v>
      </c>
      <c r="I91" s="7">
        <v>3.472222222222222E-3</v>
      </c>
      <c r="J91" s="10" t="str" cm="1">
        <f t="array" ref="J91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Lol</v>
      </c>
    </row>
    <row r="92" spans="2:10" x14ac:dyDescent="0.2">
      <c r="B92" s="2">
        <v>46065</v>
      </c>
      <c r="C92" t="s">
        <v>88</v>
      </c>
      <c r="D92">
        <v>1</v>
      </c>
      <c r="E92" s="5">
        <v>6091</v>
      </c>
      <c r="F92" s="5">
        <v>9276</v>
      </c>
      <c r="G92" s="5">
        <v>546</v>
      </c>
      <c r="H92" s="4">
        <v>12.6</v>
      </c>
      <c r="I92" s="7">
        <v>0.55277777777777781</v>
      </c>
      <c r="J92" s="10" t="str" cm="1">
        <f t="array" ref="J92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93" spans="2:10" x14ac:dyDescent="0.2">
      <c r="B93" s="2">
        <v>46066</v>
      </c>
      <c r="C93" t="s">
        <v>89</v>
      </c>
      <c r="D93">
        <v>7</v>
      </c>
      <c r="E93" s="5">
        <v>3671</v>
      </c>
      <c r="F93" s="5">
        <v>5775</v>
      </c>
      <c r="G93" s="5">
        <v>351</v>
      </c>
      <c r="H93" s="4">
        <v>13.3</v>
      </c>
      <c r="I93" s="7">
        <v>0.51875000000000004</v>
      </c>
      <c r="J93" s="10" t="str" cm="1">
        <f t="array" ref="J93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94" spans="2:10" x14ac:dyDescent="0.2">
      <c r="B94" s="2">
        <v>46067</v>
      </c>
      <c r="C94" t="s">
        <v>90</v>
      </c>
      <c r="D94">
        <v>4</v>
      </c>
      <c r="E94" s="5">
        <v>12614</v>
      </c>
      <c r="F94" s="5">
        <v>16729</v>
      </c>
      <c r="G94" s="5">
        <v>542</v>
      </c>
      <c r="H94" s="4">
        <v>3.5</v>
      </c>
      <c r="I94" s="7">
        <v>0.74652777777777779</v>
      </c>
      <c r="J94" s="10" t="str" cm="1">
        <f t="array" ref="J94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95" spans="2:10" x14ac:dyDescent="0.2">
      <c r="B95" s="2">
        <v>46068</v>
      </c>
      <c r="C95" t="s">
        <v>91</v>
      </c>
      <c r="D95">
        <v>7</v>
      </c>
      <c r="E95" s="5">
        <v>4781</v>
      </c>
      <c r="F95" s="5">
        <v>6290</v>
      </c>
      <c r="G95" s="5">
        <v>683</v>
      </c>
      <c r="H95" s="4">
        <v>8.5</v>
      </c>
      <c r="I95" s="7">
        <v>0.62916666666666665</v>
      </c>
      <c r="J95" s="10" t="str" cm="1">
        <f t="array" ref="J95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96" spans="2:10" x14ac:dyDescent="0.2">
      <c r="B96" s="2">
        <v>46071</v>
      </c>
      <c r="C96" t="s">
        <v>92</v>
      </c>
      <c r="D96">
        <v>5</v>
      </c>
      <c r="E96" s="5">
        <v>3963</v>
      </c>
      <c r="F96" s="5">
        <v>5720</v>
      </c>
      <c r="G96" s="5">
        <v>427</v>
      </c>
      <c r="H96" s="4">
        <v>13.7</v>
      </c>
      <c r="I96" s="7">
        <v>0.66319444444444442</v>
      </c>
      <c r="J96" s="10" t="str" cm="1">
        <f t="array" ref="J96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97" spans="2:10" x14ac:dyDescent="0.2">
      <c r="B97" s="2">
        <v>46072</v>
      </c>
      <c r="C97" t="s">
        <v>65</v>
      </c>
      <c r="D97">
        <v>5</v>
      </c>
      <c r="E97" s="5">
        <v>4487</v>
      </c>
      <c r="F97" s="5">
        <v>7437</v>
      </c>
      <c r="G97" s="5">
        <v>298</v>
      </c>
      <c r="H97" s="4">
        <v>11.3</v>
      </c>
      <c r="I97" s="7">
        <v>0.67638888888888893</v>
      </c>
      <c r="J97" s="10" t="str" cm="1">
        <f t="array" ref="J97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98" spans="2:10" x14ac:dyDescent="0.2">
      <c r="B98" s="2">
        <v>46074</v>
      </c>
      <c r="C98" t="s">
        <v>93</v>
      </c>
      <c r="D98">
        <v>7</v>
      </c>
      <c r="E98" s="5">
        <v>5182</v>
      </c>
      <c r="F98" s="5">
        <v>6256</v>
      </c>
      <c r="G98" s="5">
        <v>374</v>
      </c>
      <c r="H98" s="4">
        <v>9.9</v>
      </c>
      <c r="I98" s="7">
        <v>0.76597222222222228</v>
      </c>
      <c r="J98" s="10" t="str" cm="1">
        <f t="array" ref="J98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99" spans="2:10" x14ac:dyDescent="0.2">
      <c r="B99" s="2">
        <v>46075</v>
      </c>
      <c r="C99" t="s">
        <v>93</v>
      </c>
      <c r="D99">
        <v>7</v>
      </c>
      <c r="E99" s="5">
        <v>3799</v>
      </c>
      <c r="F99" s="5">
        <v>4757</v>
      </c>
      <c r="G99" s="5">
        <v>247</v>
      </c>
      <c r="H99" s="4">
        <v>11.2</v>
      </c>
      <c r="I99" s="7">
        <v>0.72222222222222221</v>
      </c>
      <c r="J99" s="10" t="str" cm="1">
        <f t="array" ref="J99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100" spans="2:10" x14ac:dyDescent="0.2">
      <c r="B100" s="2">
        <v>46076</v>
      </c>
      <c r="C100" t="s">
        <v>94</v>
      </c>
      <c r="D100">
        <v>2</v>
      </c>
      <c r="E100" s="5">
        <v>4822</v>
      </c>
      <c r="F100" s="9">
        <v>0</v>
      </c>
      <c r="G100" s="5">
        <v>341</v>
      </c>
      <c r="H100" s="4">
        <v>12.2</v>
      </c>
      <c r="I100" s="7">
        <v>0.77222222222222225</v>
      </c>
      <c r="J100" s="10" t="str" cm="1">
        <f t="array" ref="J100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101" spans="2:10" x14ac:dyDescent="0.2">
      <c r="B101" s="2">
        <v>46077</v>
      </c>
      <c r="C101" t="s">
        <v>65</v>
      </c>
      <c r="D101">
        <v>1</v>
      </c>
      <c r="E101" s="5">
        <v>2811</v>
      </c>
      <c r="F101" s="5">
        <v>3811</v>
      </c>
      <c r="G101" s="5">
        <v>163</v>
      </c>
      <c r="H101" s="4">
        <v>8</v>
      </c>
      <c r="I101" s="7">
        <v>0.82430555555555551</v>
      </c>
      <c r="J101" s="10" t="str" cm="1">
        <f t="array" ref="J101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102" spans="2:10" x14ac:dyDescent="0.2">
      <c r="B102" s="2">
        <v>46078</v>
      </c>
      <c r="C102" t="s">
        <v>95</v>
      </c>
      <c r="D102">
        <v>7</v>
      </c>
      <c r="E102" s="5">
        <v>8032</v>
      </c>
      <c r="F102" s="5">
        <v>9676</v>
      </c>
      <c r="G102" s="5">
        <v>98</v>
      </c>
      <c r="H102" s="4">
        <v>1.9</v>
      </c>
      <c r="I102" s="7">
        <v>0.65138888888888891</v>
      </c>
      <c r="J102" s="10" t="str" cm="1">
        <f t="array" ref="J102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103" spans="2:10" x14ac:dyDescent="0.2">
      <c r="B103" s="2">
        <v>46080</v>
      </c>
      <c r="C103" t="s">
        <v>96</v>
      </c>
      <c r="D103">
        <v>7</v>
      </c>
      <c r="E103" s="5">
        <v>2351</v>
      </c>
      <c r="F103" s="5">
        <v>6110</v>
      </c>
      <c r="G103" s="5">
        <v>150</v>
      </c>
      <c r="H103" s="4">
        <v>1.5</v>
      </c>
      <c r="I103" s="7">
        <v>0.31388888888888888</v>
      </c>
      <c r="J103" s="10" t="str" cm="1">
        <f t="array" ref="J103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KeYS</v>
      </c>
    </row>
    <row r="104" spans="2:10" x14ac:dyDescent="0.2">
      <c r="B104" s="2">
        <v>46083</v>
      </c>
      <c r="C104" t="s">
        <v>97</v>
      </c>
      <c r="D104">
        <v>8</v>
      </c>
      <c r="E104" s="5">
        <v>6357</v>
      </c>
      <c r="F104" s="5">
        <v>8022</v>
      </c>
      <c r="G104" s="5">
        <v>921</v>
      </c>
      <c r="H104" s="4">
        <v>6</v>
      </c>
      <c r="I104" s="7">
        <v>0.85555555555555551</v>
      </c>
      <c r="J104" s="10" t="str" cm="1">
        <f t="array" ref="J104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Late-night</v>
      </c>
    </row>
    <row r="105" spans="2:10" x14ac:dyDescent="0.2">
      <c r="B105" s="2">
        <v>46084</v>
      </c>
      <c r="C105" t="s">
        <v>98</v>
      </c>
      <c r="D105">
        <v>8</v>
      </c>
      <c r="E105" s="5">
        <v>5671</v>
      </c>
      <c r="F105" s="5">
        <v>7400</v>
      </c>
      <c r="G105" s="5">
        <v>628</v>
      </c>
      <c r="H105" s="4">
        <v>6.1</v>
      </c>
      <c r="I105" s="7">
        <v>0.95763888888888893</v>
      </c>
      <c r="J105" s="10" t="str" cm="1">
        <f t="array" ref="J105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GG EST mfs</v>
      </c>
    </row>
    <row r="106" spans="2:10" x14ac:dyDescent="0.2">
      <c r="B106" s="2">
        <v>46085</v>
      </c>
      <c r="C106" t="s">
        <v>99</v>
      </c>
      <c r="D106">
        <v>8</v>
      </c>
      <c r="E106" s="5">
        <v>4134</v>
      </c>
      <c r="F106" s="5">
        <v>5489</v>
      </c>
      <c r="G106" s="5">
        <v>368</v>
      </c>
      <c r="H106" s="4">
        <v>6.1</v>
      </c>
      <c r="I106" s="7">
        <v>0.87291666666666667</v>
      </c>
      <c r="J106" s="10" t="str" cm="1">
        <f t="array" ref="J106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Late-night</v>
      </c>
    </row>
    <row r="107" spans="2:10" x14ac:dyDescent="0.2">
      <c r="B107" s="2">
        <v>46088</v>
      </c>
      <c r="C107" t="s">
        <v>100</v>
      </c>
      <c r="D107">
        <v>1</v>
      </c>
      <c r="E107" s="5">
        <v>4596</v>
      </c>
      <c r="F107" s="5">
        <v>7325</v>
      </c>
      <c r="G107" s="5">
        <v>339</v>
      </c>
      <c r="H107" s="4">
        <v>7.8</v>
      </c>
      <c r="I107" s="7">
        <v>0.80486111111111114</v>
      </c>
      <c r="J107" s="10" t="str" cm="1">
        <f t="array" ref="J107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108" spans="2:10" x14ac:dyDescent="0.2">
      <c r="B108" s="2">
        <v>46089</v>
      </c>
      <c r="C108" t="s">
        <v>101</v>
      </c>
      <c r="D108">
        <v>2</v>
      </c>
      <c r="E108" s="5">
        <v>4050</v>
      </c>
      <c r="F108" s="5">
        <v>10950</v>
      </c>
      <c r="G108" s="5">
        <v>1010</v>
      </c>
      <c r="H108" s="4">
        <v>14.5</v>
      </c>
      <c r="I108" s="7">
        <v>0.55833333333333335</v>
      </c>
      <c r="J108" s="10" t="str" cm="1">
        <f t="array" ref="J108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109" spans="2:10" x14ac:dyDescent="0.2">
      <c r="B109" s="2">
        <v>46090</v>
      </c>
      <c r="C109" t="s">
        <v>102</v>
      </c>
      <c r="D109">
        <v>2</v>
      </c>
      <c r="E109" s="5">
        <v>6183</v>
      </c>
      <c r="F109" s="5">
        <v>19591</v>
      </c>
      <c r="G109" s="5">
        <v>1031</v>
      </c>
      <c r="H109" s="4">
        <v>13.1</v>
      </c>
      <c r="I109" s="7">
        <v>0.52500000000000002</v>
      </c>
      <c r="J109" s="10" t="str" cm="1">
        <f t="array" ref="J109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110" spans="2:10" x14ac:dyDescent="0.2">
      <c r="B110" s="2">
        <v>46091</v>
      </c>
      <c r="C110" t="s">
        <v>103</v>
      </c>
      <c r="D110">
        <v>5</v>
      </c>
      <c r="E110" s="5">
        <v>4192</v>
      </c>
      <c r="F110" s="5">
        <v>6632</v>
      </c>
      <c r="G110" s="5">
        <v>387</v>
      </c>
      <c r="H110" s="4">
        <v>12.2</v>
      </c>
      <c r="I110" s="7">
        <v>0.62708333333333333</v>
      </c>
      <c r="J110" s="10" t="str" cm="1">
        <f t="array" ref="J110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111" spans="2:10" x14ac:dyDescent="0.2">
      <c r="B111" s="2">
        <v>46092</v>
      </c>
      <c r="C111" t="s">
        <v>104</v>
      </c>
      <c r="D111">
        <v>5</v>
      </c>
      <c r="E111" s="5">
        <v>5112</v>
      </c>
      <c r="F111" s="5">
        <v>6196</v>
      </c>
      <c r="G111" s="5">
        <v>287</v>
      </c>
      <c r="H111" s="4">
        <v>5</v>
      </c>
      <c r="I111" s="7">
        <v>0.50347222222222221</v>
      </c>
      <c r="J111" s="10" t="str" cm="1">
        <f t="array" ref="J111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112" spans="2:10" x14ac:dyDescent="0.2">
      <c r="B112" s="2">
        <v>46094</v>
      </c>
      <c r="C112" t="s">
        <v>105</v>
      </c>
      <c r="D112">
        <v>4</v>
      </c>
      <c r="E112" s="5">
        <v>6531</v>
      </c>
      <c r="F112" s="5">
        <v>8181</v>
      </c>
      <c r="G112" s="5">
        <v>460</v>
      </c>
      <c r="H112" s="4">
        <v>10.1</v>
      </c>
      <c r="I112" s="7">
        <v>0.71458333333333335</v>
      </c>
      <c r="J112" s="10" t="str" cm="1">
        <f t="array" ref="J112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113" spans="2:12" x14ac:dyDescent="0.2">
      <c r="B113" s="2">
        <v>46095</v>
      </c>
      <c r="C113" t="s">
        <v>106</v>
      </c>
      <c r="D113">
        <v>2</v>
      </c>
      <c r="E113" s="5">
        <v>4188</v>
      </c>
      <c r="F113" s="5">
        <v>6352</v>
      </c>
      <c r="G113" s="5">
        <v>586</v>
      </c>
      <c r="H113" s="4">
        <v>12.3</v>
      </c>
      <c r="I113" s="7">
        <v>0.48194444444444445</v>
      </c>
      <c r="J113" s="10" t="str" cm="1">
        <f t="array" ref="J113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  <c r="L113" s="18"/>
    </row>
    <row r="114" spans="2:12" x14ac:dyDescent="0.2">
      <c r="B114" s="2">
        <v>46096</v>
      </c>
      <c r="C114" t="s">
        <v>107</v>
      </c>
      <c r="D114">
        <v>7</v>
      </c>
      <c r="E114" s="5">
        <v>3589</v>
      </c>
      <c r="F114" s="5">
        <v>6488</v>
      </c>
      <c r="G114" s="5">
        <v>821</v>
      </c>
      <c r="H114" s="4">
        <v>12</v>
      </c>
      <c r="I114" s="7">
        <v>0.58611111111111114</v>
      </c>
      <c r="J114" s="10" t="str" cm="1">
        <f t="array" ref="J114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115" spans="2:12" x14ac:dyDescent="0.2">
      <c r="B115" s="2">
        <v>46099</v>
      </c>
      <c r="C115" t="s">
        <v>108</v>
      </c>
      <c r="D115">
        <v>5</v>
      </c>
      <c r="E115" s="5">
        <v>7256</v>
      </c>
      <c r="F115" s="5">
        <v>11579</v>
      </c>
      <c r="G115" s="5">
        <v>502</v>
      </c>
      <c r="H115" s="4">
        <v>7.9</v>
      </c>
      <c r="I115" s="7">
        <v>0.78402777777777777</v>
      </c>
      <c r="J115" s="10" t="str" cm="1">
        <f t="array" ref="J115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116" spans="2:12" x14ac:dyDescent="0.2">
      <c r="B116" s="2">
        <v>46100</v>
      </c>
      <c r="C116" t="s">
        <v>109</v>
      </c>
      <c r="D116">
        <v>2</v>
      </c>
      <c r="E116" s="5">
        <v>6477</v>
      </c>
      <c r="F116" s="5">
        <v>9402</v>
      </c>
      <c r="G116" s="5">
        <v>1008</v>
      </c>
      <c r="H116" s="4">
        <v>13.5</v>
      </c>
      <c r="I116" s="7">
        <v>0.61458333333333337</v>
      </c>
      <c r="J116" s="10" t="str" cm="1">
        <f t="array" ref="J116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117" spans="2:12" x14ac:dyDescent="0.2">
      <c r="B117" s="2">
        <v>46101</v>
      </c>
      <c r="C117" t="s">
        <v>110</v>
      </c>
      <c r="D117">
        <v>5</v>
      </c>
      <c r="E117" s="5">
        <v>6485</v>
      </c>
      <c r="F117" s="5">
        <v>8502</v>
      </c>
      <c r="G117" s="5">
        <v>442</v>
      </c>
      <c r="H117" s="4">
        <v>10.7</v>
      </c>
      <c r="I117" s="7">
        <v>0.77083333333333337</v>
      </c>
      <c r="J117" s="10" t="str" cm="1">
        <f t="array" ref="J117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118" spans="2:12" x14ac:dyDescent="0.2">
      <c r="B118" s="2">
        <v>46102</v>
      </c>
      <c r="C118" t="s">
        <v>127</v>
      </c>
      <c r="D118">
        <v>6</v>
      </c>
      <c r="E118" s="5">
        <v>7742</v>
      </c>
      <c r="F118" s="5">
        <v>11278</v>
      </c>
      <c r="G118" s="5">
        <v>448</v>
      </c>
      <c r="H118" s="4">
        <v>8.6</v>
      </c>
      <c r="I118" s="7">
        <v>0.84027777777777779</v>
      </c>
      <c r="J118" s="10" t="str" cm="1">
        <f t="array" ref="J118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Late-night</v>
      </c>
    </row>
    <row r="119" spans="2:12" x14ac:dyDescent="0.2">
      <c r="B119" s="2">
        <v>46103</v>
      </c>
      <c r="C119" t="s">
        <v>128</v>
      </c>
      <c r="D119">
        <v>7</v>
      </c>
      <c r="E119" s="5">
        <v>6703</v>
      </c>
      <c r="F119" s="5">
        <v>8156</v>
      </c>
      <c r="G119" s="5">
        <v>249</v>
      </c>
      <c r="H119" s="4">
        <v>4.4000000000000004</v>
      </c>
      <c r="I119" s="7">
        <v>0.72083333333333333</v>
      </c>
      <c r="J119" s="10" t="str" cm="1">
        <f t="array" ref="J119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120" spans="2:12" x14ac:dyDescent="0.2">
      <c r="B120" s="2">
        <v>46105</v>
      </c>
      <c r="C120" t="s">
        <v>134</v>
      </c>
      <c r="D120">
        <v>5</v>
      </c>
      <c r="E120" s="5">
        <v>5708</v>
      </c>
      <c r="F120" s="5">
        <v>9557</v>
      </c>
      <c r="G120" s="5">
        <v>380</v>
      </c>
      <c r="H120" s="4">
        <v>14.8</v>
      </c>
      <c r="I120" s="7">
        <v>0.58888888888888891</v>
      </c>
      <c r="J120" s="10" t="str" cm="1">
        <f t="array" ref="J120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121" spans="2:12" x14ac:dyDescent="0.2">
      <c r="B121" s="2">
        <v>46107</v>
      </c>
      <c r="C121" t="s">
        <v>135</v>
      </c>
      <c r="D121">
        <v>8</v>
      </c>
      <c r="E121" s="5">
        <v>4098</v>
      </c>
      <c r="F121" s="5">
        <v>8544</v>
      </c>
      <c r="G121" s="5">
        <v>231</v>
      </c>
      <c r="H121" s="4">
        <v>7.2</v>
      </c>
      <c r="I121" s="7">
        <v>0.64097222222222228</v>
      </c>
      <c r="J121" s="10" t="str" cm="1">
        <f t="array" ref="J121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122" spans="2:12" x14ac:dyDescent="0.2">
      <c r="B122" s="2">
        <v>46109</v>
      </c>
      <c r="C122" t="s">
        <v>138</v>
      </c>
      <c r="D122">
        <v>8</v>
      </c>
      <c r="E122" s="5">
        <v>3887</v>
      </c>
      <c r="F122" s="5">
        <v>6150</v>
      </c>
      <c r="G122" s="5">
        <v>236</v>
      </c>
      <c r="H122" s="4">
        <v>9.3000000000000007</v>
      </c>
      <c r="I122" s="7">
        <v>0.60138888888888886</v>
      </c>
      <c r="J122" s="10" t="str" cm="1">
        <f t="array" ref="J122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123" spans="2:12" x14ac:dyDescent="0.2">
      <c r="B123" s="2">
        <v>46112</v>
      </c>
      <c r="C123" t="s">
        <v>142</v>
      </c>
      <c r="D123">
        <v>7</v>
      </c>
      <c r="E123" s="5">
        <v>4394</v>
      </c>
      <c r="F123" s="5">
        <v>5872</v>
      </c>
      <c r="G123" s="5">
        <v>99</v>
      </c>
      <c r="H123" s="4">
        <v>3.7</v>
      </c>
      <c r="I123" s="7">
        <v>0.72361111111111109</v>
      </c>
      <c r="J123" s="10" t="str" cm="1">
        <f t="array" ref="J123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124" spans="2:12" x14ac:dyDescent="0.2">
      <c r="B124" s="2">
        <v>46113</v>
      </c>
      <c r="C124" t="s">
        <v>143</v>
      </c>
      <c r="D124">
        <v>5</v>
      </c>
      <c r="E124" s="5">
        <v>5395</v>
      </c>
      <c r="F124" s="5">
        <v>6807</v>
      </c>
      <c r="G124" s="5">
        <v>396</v>
      </c>
      <c r="H124" s="4">
        <v>9.9</v>
      </c>
      <c r="I124" s="7">
        <v>0.55486111111111114</v>
      </c>
      <c r="J124" s="10" t="str" cm="1">
        <f t="array" ref="J124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125" spans="2:12" x14ac:dyDescent="0.2">
      <c r="B125" s="2">
        <v>46114</v>
      </c>
      <c r="C125" t="s">
        <v>148</v>
      </c>
      <c r="D125">
        <v>3</v>
      </c>
      <c r="E125" s="5">
        <v>4962</v>
      </c>
      <c r="F125" s="5">
        <v>7262</v>
      </c>
      <c r="G125" s="5">
        <v>270</v>
      </c>
      <c r="H125" s="4">
        <v>12.5</v>
      </c>
      <c r="I125" s="7">
        <v>0.57361111111111107</v>
      </c>
      <c r="J125" s="10" t="str" cm="1">
        <f t="array" ref="J125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126" spans="2:12" x14ac:dyDescent="0.2">
      <c r="B126" s="2">
        <v>46115</v>
      </c>
      <c r="C126" t="s">
        <v>149</v>
      </c>
      <c r="D126">
        <v>5</v>
      </c>
      <c r="E126" s="5">
        <v>3934</v>
      </c>
      <c r="F126" s="5">
        <v>5268</v>
      </c>
      <c r="G126" s="5">
        <v>278</v>
      </c>
      <c r="H126" s="4">
        <v>12.1</v>
      </c>
      <c r="I126" s="7">
        <v>0.47986111111111113</v>
      </c>
      <c r="J126" s="10" t="str" cm="1">
        <f t="array" ref="J126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127" spans="2:12" x14ac:dyDescent="0.2">
      <c r="B127" s="2">
        <v>46116</v>
      </c>
      <c r="C127" t="s">
        <v>150</v>
      </c>
      <c r="D127">
        <v>4</v>
      </c>
      <c r="E127" s="5">
        <v>7450</v>
      </c>
      <c r="F127" s="5">
        <v>9748</v>
      </c>
      <c r="G127" s="5">
        <v>387</v>
      </c>
      <c r="H127" s="4">
        <v>7.2</v>
      </c>
      <c r="I127" s="7">
        <v>0.78472222222222221</v>
      </c>
      <c r="J127" s="10" t="str" cm="1">
        <f t="array" ref="J127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128" spans="2:12" x14ac:dyDescent="0.2">
      <c r="B128" s="2">
        <v>46117</v>
      </c>
      <c r="C128" t="s">
        <v>151</v>
      </c>
      <c r="D128">
        <v>3</v>
      </c>
      <c r="E128" s="5">
        <v>7155</v>
      </c>
      <c r="F128" s="5">
        <v>12070</v>
      </c>
      <c r="G128" s="5">
        <v>557</v>
      </c>
      <c r="H128" s="4">
        <v>10.199999999999999</v>
      </c>
      <c r="I128" s="7">
        <v>0.63194444444444442</v>
      </c>
      <c r="J128" s="10" t="str" cm="1">
        <f t="array" ref="J128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129" spans="2:10" x14ac:dyDescent="0.2">
      <c r="B129" s="2">
        <v>46119</v>
      </c>
      <c r="C129" t="s">
        <v>170</v>
      </c>
      <c r="D129">
        <v>2</v>
      </c>
      <c r="E129" s="5">
        <v>5597</v>
      </c>
      <c r="F129" s="5">
        <v>8984</v>
      </c>
      <c r="G129" s="5">
        <v>661</v>
      </c>
      <c r="H129" s="4">
        <v>13.7</v>
      </c>
      <c r="I129" s="7">
        <v>0.50972222222222219</v>
      </c>
      <c r="J129" s="10" t="str" cm="1">
        <f t="array" ref="J129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130" spans="2:10" x14ac:dyDescent="0.2">
      <c r="B130" s="2">
        <v>46120</v>
      </c>
      <c r="C130" t="s">
        <v>171</v>
      </c>
      <c r="D130">
        <v>7</v>
      </c>
      <c r="E130" s="5">
        <v>7203</v>
      </c>
      <c r="F130" s="5">
        <v>9911</v>
      </c>
      <c r="G130" s="5">
        <v>312</v>
      </c>
      <c r="H130" s="4">
        <v>8.3000000000000007</v>
      </c>
      <c r="I130" s="7">
        <v>0.68333333333333335</v>
      </c>
      <c r="J130" s="10" t="str" cm="1">
        <f t="array" ref="J130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131" spans="2:10" x14ac:dyDescent="0.2">
      <c r="B131" s="2">
        <v>46121</v>
      </c>
      <c r="C131" t="s">
        <v>172</v>
      </c>
      <c r="D131">
        <v>5</v>
      </c>
      <c r="E131" s="5">
        <v>4938</v>
      </c>
      <c r="F131" s="5">
        <v>6537</v>
      </c>
      <c r="G131" s="5">
        <v>213</v>
      </c>
      <c r="H131" s="4">
        <v>9.4</v>
      </c>
      <c r="I131" s="7">
        <v>0.72152777777777777</v>
      </c>
      <c r="J131" s="10" t="str" cm="1">
        <f t="array" ref="J131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132" spans="2:10" x14ac:dyDescent="0.2">
      <c r="B132" s="2">
        <v>46122</v>
      </c>
      <c r="C132" t="s">
        <v>173</v>
      </c>
      <c r="D132">
        <v>2</v>
      </c>
      <c r="E132" s="5">
        <v>3540</v>
      </c>
      <c r="F132" s="5">
        <v>4681</v>
      </c>
      <c r="G132" s="5">
        <v>255</v>
      </c>
      <c r="H132" s="4">
        <v>12.6</v>
      </c>
      <c r="I132" s="7">
        <v>0.60833333333333328</v>
      </c>
      <c r="J132" s="10" t="str" cm="1">
        <f t="array" ref="J132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133" spans="2:10" x14ac:dyDescent="0.2">
      <c r="B133" s="2">
        <v>46123</v>
      </c>
      <c r="C133" t="s">
        <v>174</v>
      </c>
      <c r="D133">
        <v>2</v>
      </c>
      <c r="E133" s="5">
        <v>5434</v>
      </c>
      <c r="F133" s="5">
        <v>7552</v>
      </c>
      <c r="G133" s="5">
        <v>442</v>
      </c>
      <c r="H133" s="4">
        <v>13.6</v>
      </c>
      <c r="I133" s="7">
        <v>0.53472222222222221</v>
      </c>
      <c r="J133" s="10" t="str" cm="1">
        <f t="array" ref="J133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134" spans="2:10" x14ac:dyDescent="0.2">
      <c r="B134" s="2">
        <v>46125</v>
      </c>
      <c r="C134" t="s">
        <v>175</v>
      </c>
      <c r="D134">
        <v>7</v>
      </c>
      <c r="E134" s="5">
        <v>7229</v>
      </c>
      <c r="F134" s="5">
        <v>10018</v>
      </c>
      <c r="G134" s="5">
        <v>787</v>
      </c>
      <c r="H134" s="4">
        <v>16.600000000000001</v>
      </c>
      <c r="I134" s="7">
        <v>0.46180555555555558</v>
      </c>
      <c r="J134" s="10" t="str" cm="1">
        <f t="array" ref="J134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135" spans="2:10" x14ac:dyDescent="0.2">
      <c r="B135" s="2">
        <v>46127</v>
      </c>
      <c r="C135" t="s">
        <v>176</v>
      </c>
      <c r="D135">
        <v>2</v>
      </c>
      <c r="E135" s="5">
        <v>5408</v>
      </c>
      <c r="F135" s="5">
        <v>8813</v>
      </c>
      <c r="G135" s="5">
        <v>562</v>
      </c>
      <c r="H135" s="4">
        <v>11</v>
      </c>
      <c r="I135" s="7">
        <v>0.75277777777777777</v>
      </c>
      <c r="J135" s="10" t="str" cm="1">
        <f t="array" ref="J135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136" spans="2:10" x14ac:dyDescent="0.2">
      <c r="B136" s="2">
        <v>46128</v>
      </c>
      <c r="C136" t="s">
        <v>177</v>
      </c>
      <c r="D136">
        <v>3</v>
      </c>
      <c r="E136" s="5">
        <v>4800</v>
      </c>
      <c r="F136" s="5">
        <v>6713</v>
      </c>
      <c r="G136" s="5">
        <v>217</v>
      </c>
      <c r="H136" s="4">
        <v>9.1</v>
      </c>
      <c r="I136" s="7">
        <v>0.81666666666666665</v>
      </c>
      <c r="J136" s="10" t="str" cm="1">
        <f t="array" ref="J136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137" spans="2:10" x14ac:dyDescent="0.2">
      <c r="B137" s="2">
        <v>46129</v>
      </c>
      <c r="C137" t="s">
        <v>193</v>
      </c>
      <c r="D137">
        <v>1</v>
      </c>
      <c r="E137" s="5">
        <v>4276</v>
      </c>
      <c r="F137" s="5">
        <v>8634</v>
      </c>
      <c r="G137" s="5">
        <v>619</v>
      </c>
      <c r="H137" s="4">
        <v>15.4</v>
      </c>
      <c r="I137" s="7">
        <v>0.77222222222222225</v>
      </c>
      <c r="J137" s="10" t="str" cm="1">
        <f t="array" ref="J137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138" spans="2:10" x14ac:dyDescent="0.2">
      <c r="B138" s="2">
        <v>46131</v>
      </c>
      <c r="C138" t="s">
        <v>194</v>
      </c>
      <c r="D138">
        <v>5</v>
      </c>
      <c r="E138" s="5">
        <v>4827</v>
      </c>
      <c r="F138" s="5">
        <v>6128</v>
      </c>
      <c r="G138" s="5">
        <v>184</v>
      </c>
      <c r="H138" s="4">
        <v>6.2</v>
      </c>
      <c r="I138" s="7">
        <v>0.81944444444444442</v>
      </c>
      <c r="J138" s="10" t="str" cm="1">
        <f t="array" ref="J138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139" spans="2:10" x14ac:dyDescent="0.2">
      <c r="B139" s="2">
        <v>46132</v>
      </c>
      <c r="C139" t="s">
        <v>196</v>
      </c>
      <c r="D139">
        <v>2</v>
      </c>
      <c r="E139" s="5">
        <v>4353</v>
      </c>
      <c r="F139" s="5">
        <v>6604</v>
      </c>
      <c r="G139" s="5">
        <v>268</v>
      </c>
      <c r="H139" s="4">
        <v>10.4</v>
      </c>
      <c r="I139" s="7">
        <v>0.66527777777777775</v>
      </c>
      <c r="J139" s="10" t="str" cm="1">
        <f t="array" ref="J139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140" spans="2:10" x14ac:dyDescent="0.2">
      <c r="B140" s="2">
        <v>46135</v>
      </c>
      <c r="C140" t="s">
        <v>195</v>
      </c>
      <c r="D140">
        <v>2</v>
      </c>
      <c r="E140" s="5">
        <v>4659</v>
      </c>
      <c r="F140" s="5">
        <v>5499</v>
      </c>
      <c r="G140" s="5">
        <v>369</v>
      </c>
      <c r="H140" s="4">
        <v>11.5</v>
      </c>
      <c r="I140" s="7">
        <v>0.56666666666666665</v>
      </c>
      <c r="J140" s="10" t="str" cm="1">
        <f t="array" ref="J140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141" spans="2:10" x14ac:dyDescent="0.2">
      <c r="B141" s="2">
        <v>46136</v>
      </c>
      <c r="C141" t="s">
        <v>197</v>
      </c>
      <c r="D141">
        <v>3</v>
      </c>
      <c r="E141" s="5">
        <v>3917</v>
      </c>
      <c r="F141" s="5">
        <v>6371</v>
      </c>
      <c r="G141" s="5">
        <v>532</v>
      </c>
      <c r="H141" s="4">
        <v>14.2</v>
      </c>
      <c r="I141" s="7">
        <v>0.57013888888888886</v>
      </c>
      <c r="J141" s="10" t="str" cm="1">
        <f t="array" ref="J141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142" spans="2:10" x14ac:dyDescent="0.2">
      <c r="B142" s="2">
        <v>46137</v>
      </c>
      <c r="C142" t="s">
        <v>198</v>
      </c>
      <c r="D142">
        <v>1</v>
      </c>
      <c r="E142" s="5">
        <v>2794</v>
      </c>
      <c r="F142" s="5">
        <v>4724</v>
      </c>
      <c r="G142" s="5">
        <v>286</v>
      </c>
      <c r="H142" s="4">
        <v>11.6</v>
      </c>
      <c r="I142" s="7">
        <v>0.61736111111111114</v>
      </c>
      <c r="J142" s="10" t="str" cm="1">
        <f t="array" ref="J142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143" spans="2:10" x14ac:dyDescent="0.2">
      <c r="B143" s="2">
        <v>46139</v>
      </c>
      <c r="C143" t="s">
        <v>199</v>
      </c>
      <c r="D143">
        <v>3</v>
      </c>
      <c r="E143" s="5">
        <v>5088</v>
      </c>
      <c r="F143" s="5">
        <v>7964</v>
      </c>
      <c r="G143" s="5">
        <v>528</v>
      </c>
      <c r="H143" s="4">
        <v>13.4</v>
      </c>
      <c r="I143" s="7">
        <v>0.66041666666666665</v>
      </c>
      <c r="J143" s="10" t="str" cm="1">
        <f t="array" ref="J143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144" spans="2:10" x14ac:dyDescent="0.2">
      <c r="B144" s="2">
        <v>46140</v>
      </c>
      <c r="C144" t="s">
        <v>200</v>
      </c>
      <c r="D144">
        <v>1</v>
      </c>
      <c r="E144" s="5">
        <v>4198</v>
      </c>
      <c r="F144" s="5">
        <v>5499</v>
      </c>
      <c r="G144" s="5">
        <v>100</v>
      </c>
      <c r="H144" s="4">
        <v>5</v>
      </c>
      <c r="I144" s="7">
        <v>0.80208333333333337</v>
      </c>
      <c r="J144" s="10" t="str" cm="1">
        <f t="array" ref="J144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Good times</v>
      </c>
    </row>
    <row r="145" spans="2:10" x14ac:dyDescent="0.2">
      <c r="B145" s="2">
        <v>46142</v>
      </c>
      <c r="C145" t="s">
        <v>201</v>
      </c>
      <c r="D145">
        <v>2</v>
      </c>
      <c r="E145" s="5">
        <v>4514</v>
      </c>
      <c r="F145" s="5">
        <v>6003</v>
      </c>
      <c r="G145" s="5">
        <v>325</v>
      </c>
      <c r="H145" s="4">
        <v>7.4</v>
      </c>
      <c r="I145" s="7">
        <v>0.5708333333333333</v>
      </c>
      <c r="J145" s="10" t="str" cm="1">
        <f t="array" ref="J145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  <row r="146" spans="2:10" x14ac:dyDescent="0.2">
      <c r="B146" s="2">
        <v>46143</v>
      </c>
      <c r="C146" t="s">
        <v>202</v>
      </c>
      <c r="D146">
        <v>3</v>
      </c>
      <c r="E146" s="5">
        <v>4201</v>
      </c>
      <c r="F146" s="5">
        <v>6869</v>
      </c>
      <c r="G146" s="5">
        <v>182</v>
      </c>
      <c r="H146" s="4">
        <v>6.2</v>
      </c>
      <c r="I146" s="7">
        <v>0.60069444444444442</v>
      </c>
      <c r="J146" s="10" t="str" cm="1">
        <f t="array" ref="J146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Prime hours</v>
      </c>
    </row>
    <row r="147" spans="2:10" x14ac:dyDescent="0.2">
      <c r="B147" s="2">
        <v>46144</v>
      </c>
      <c r="C147" t="s">
        <v>203</v>
      </c>
      <c r="D147">
        <v>1</v>
      </c>
      <c r="E147" s="5">
        <v>12436</v>
      </c>
      <c r="F147" s="5">
        <v>16928</v>
      </c>
      <c r="G147" s="5">
        <v>573</v>
      </c>
      <c r="H147" s="4">
        <v>2.7</v>
      </c>
      <c r="I147" s="7">
        <v>0.52361111111111114</v>
      </c>
      <c r="J147" s="10" t="str" cm="1">
        <f t="array" ref="J147">_xlfn.IFS(AND(DATA[[#This Row],[Start time (PST)]]&gt;=$F$5,DATA[[#This Row],[Start time (PST)]]&lt;=$G$5),"Early asf",AND(DATA[[#This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(PST)]]&lt;=$G$10),"GG EST mfs",AND(DATA[[#This Row],[Start time (PST)]]&gt;=$F$11,DATA[[#This Row],[Start time (PST)]]&lt;=$G$11),"Lol",AND(DATA[[#This Row],[Start time (PST)]]&gt;=$F$12,DATA[[#This Row],[Start time (PST)]]&lt;=$G$12),"KeYS")</f>
        <v>Great times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CC08-92B5-4BB2-AA32-E4883704BC30}">
  <dimension ref="A1:EF42"/>
  <sheetViews>
    <sheetView showGridLines="0" zoomScale="106" zoomScaleNormal="106" workbookViewId="0">
      <selection activeCell="H26" sqref="H26"/>
    </sheetView>
  </sheetViews>
  <sheetFormatPr defaultColWidth="13.28515625" defaultRowHeight="12.75" x14ac:dyDescent="0.2"/>
  <cols>
    <col min="2" max="2" width="13.28515625" style="22"/>
    <col min="3" max="3" width="29.7109375" customWidth="1"/>
    <col min="4" max="4" width="8.42578125" style="5" bestFit="1" customWidth="1"/>
    <col min="5" max="6" width="15.7109375" style="5" customWidth="1"/>
    <col min="7" max="7" width="19.140625" style="5" customWidth="1"/>
    <col min="8" max="8" width="15.7109375" customWidth="1"/>
    <col min="9" max="9" width="15.7109375" style="6" customWidth="1"/>
    <col min="10" max="10" width="13.28515625" style="8"/>
    <col min="11" max="11" width="3.7109375" customWidth="1"/>
    <col min="12" max="12" width="20.7109375" customWidth="1"/>
    <col min="16" max="16" width="13.28515625" style="40"/>
    <col min="17" max="17" width="14.7109375" style="40" bestFit="1" customWidth="1"/>
    <col min="18" max="18" width="8.7109375" customWidth="1"/>
    <col min="19" max="19" width="13.28515625" style="22"/>
    <col min="20" max="20" width="29.7109375" customWidth="1"/>
    <col min="21" max="21" width="8.42578125" bestFit="1" customWidth="1"/>
    <col min="22" max="23" width="14.7109375" style="5" customWidth="1"/>
    <col min="24" max="24" width="19.28515625" style="5" customWidth="1"/>
    <col min="25" max="25" width="15.7109375" style="3" customWidth="1"/>
    <col min="26" max="26" width="15.7109375" style="6" customWidth="1"/>
    <col min="27" max="27" width="13.28515625" style="8"/>
    <col min="28" max="28" width="3.7109375" customWidth="1"/>
    <col min="29" max="29" width="20.7109375" customWidth="1"/>
    <col min="34" max="34" width="14.7109375" bestFit="1" customWidth="1"/>
    <col min="35" max="35" width="8.7109375" customWidth="1"/>
    <col min="36" max="36" width="13.28515625" style="22"/>
    <col min="37" max="37" width="29.7109375" customWidth="1"/>
    <col min="38" max="38" width="8.42578125" bestFit="1" customWidth="1"/>
    <col min="39" max="40" width="15.7109375" style="5" customWidth="1"/>
    <col min="41" max="41" width="19.28515625" style="5" customWidth="1"/>
    <col min="42" max="42" width="15.7109375" style="3" customWidth="1"/>
    <col min="43" max="43" width="15.7109375" style="6" customWidth="1"/>
    <col min="44" max="44" width="13.28515625" style="8"/>
    <col min="45" max="45" width="3.7109375" customWidth="1"/>
    <col min="46" max="46" width="20.7109375" customWidth="1"/>
    <col min="51" max="51" width="14.7109375" bestFit="1" customWidth="1"/>
    <col min="52" max="52" width="8.7109375" customWidth="1"/>
    <col min="53" max="53" width="13.28515625" style="22"/>
    <col min="54" max="54" width="29.7109375" customWidth="1"/>
    <col min="55" max="55" width="8.42578125" bestFit="1" customWidth="1"/>
    <col min="56" max="57" width="15.7109375" style="5" customWidth="1"/>
    <col min="58" max="58" width="19.28515625" style="5" customWidth="1"/>
    <col min="59" max="59" width="15.7109375" style="3" customWidth="1"/>
    <col min="60" max="60" width="15.7109375" style="6" customWidth="1"/>
    <col min="61" max="61" width="13.28515625" style="8"/>
    <col min="62" max="62" width="3.7109375" customWidth="1"/>
    <col min="63" max="63" width="20.7109375" customWidth="1"/>
    <col min="68" max="68" width="14.7109375" bestFit="1" customWidth="1"/>
    <col min="69" max="69" width="8.7109375" customWidth="1"/>
    <col min="70" max="70" width="13.28515625" style="22"/>
    <col min="71" max="71" width="29.7109375" customWidth="1"/>
    <col min="72" max="72" width="8.42578125" bestFit="1" customWidth="1"/>
    <col min="73" max="74" width="15.7109375" style="5" customWidth="1"/>
    <col min="75" max="75" width="19.28515625" style="5" customWidth="1"/>
    <col min="76" max="76" width="15.7109375" style="3" customWidth="1"/>
    <col min="77" max="77" width="15.7109375" style="6" customWidth="1"/>
    <col min="78" max="78" width="13.28515625" style="8"/>
    <col min="79" max="79" width="3.7109375" customWidth="1"/>
    <col min="80" max="80" width="20.7109375" customWidth="1"/>
    <col min="85" max="85" width="14.7109375" bestFit="1" customWidth="1"/>
    <col min="86" max="86" width="8.7109375" customWidth="1"/>
    <col min="87" max="87" width="13.28515625" style="22"/>
    <col min="88" max="88" width="29.7109375" customWidth="1"/>
    <col min="90" max="91" width="15.7109375" style="5" customWidth="1"/>
    <col min="92" max="92" width="19.28515625" style="5" customWidth="1"/>
    <col min="93" max="93" width="15.7109375" style="3" customWidth="1"/>
    <col min="94" max="94" width="15.7109375" style="6" customWidth="1"/>
    <col min="95" max="95" width="13.28515625" style="8"/>
    <col min="96" max="96" width="3.7109375" customWidth="1"/>
    <col min="97" max="97" width="20.7109375" customWidth="1"/>
    <col min="102" max="102" width="14.7109375" bestFit="1" customWidth="1"/>
    <col min="103" max="103" width="8.7109375" customWidth="1"/>
    <col min="104" max="104" width="13.28515625" style="22"/>
    <col min="105" max="105" width="29.7109375" customWidth="1"/>
    <col min="106" max="106" width="8.42578125" bestFit="1" customWidth="1"/>
    <col min="107" max="108" width="15.7109375" style="5" customWidth="1"/>
    <col min="109" max="109" width="19.28515625" style="5" customWidth="1"/>
    <col min="110" max="110" width="15.7109375" style="3" customWidth="1"/>
    <col min="111" max="111" width="15.7109375" style="6" customWidth="1"/>
    <col min="112" max="112" width="13.28515625" style="8"/>
    <col min="113" max="113" width="3.7109375" customWidth="1"/>
    <col min="114" max="114" width="20.7109375" customWidth="1"/>
    <col min="119" max="119" width="14.7109375" bestFit="1" customWidth="1"/>
    <col min="120" max="120" width="8.7109375" customWidth="1"/>
    <col min="121" max="121" width="13.28515625" style="22"/>
    <col min="122" max="122" width="29.7109375" customWidth="1"/>
    <col min="123" max="123" width="8.42578125" bestFit="1" customWidth="1"/>
    <col min="124" max="125" width="15.7109375" style="5" customWidth="1"/>
    <col min="126" max="126" width="19.28515625" style="5" customWidth="1"/>
    <col min="127" max="127" width="15.7109375" style="3" customWidth="1"/>
    <col min="128" max="128" width="15.7109375" style="6" customWidth="1"/>
    <col min="129" max="129" width="13.28515625" style="8"/>
    <col min="130" max="130" width="3.7109375" customWidth="1"/>
    <col min="131" max="131" width="20.7109375" customWidth="1"/>
    <col min="136" max="136" width="14.7109375" bestFit="1" customWidth="1"/>
  </cols>
  <sheetData>
    <row r="1" spans="1:136" x14ac:dyDescent="0.2">
      <c r="B1"/>
      <c r="D1"/>
      <c r="E1"/>
      <c r="F1"/>
      <c r="G1"/>
      <c r="I1"/>
      <c r="J1"/>
      <c r="P1"/>
      <c r="Q1"/>
      <c r="S1"/>
      <c r="V1"/>
      <c r="W1"/>
      <c r="X1"/>
      <c r="Y1"/>
      <c r="Z1"/>
      <c r="AA1"/>
      <c r="AJ1"/>
      <c r="AM1"/>
      <c r="AN1"/>
      <c r="AO1"/>
      <c r="AP1"/>
      <c r="AQ1"/>
      <c r="AR1"/>
      <c r="BA1"/>
      <c r="BD1"/>
      <c r="BE1"/>
      <c r="BF1"/>
      <c r="BG1"/>
      <c r="BH1"/>
      <c r="BI1"/>
      <c r="BR1"/>
      <c r="BU1"/>
      <c r="BV1"/>
      <c r="BW1"/>
      <c r="BX1"/>
      <c r="BY1"/>
      <c r="BZ1"/>
      <c r="CI1"/>
      <c r="CL1"/>
      <c r="CM1"/>
      <c r="CN1"/>
      <c r="CO1"/>
      <c r="CP1"/>
      <c r="CQ1"/>
      <c r="CZ1"/>
      <c r="DC1"/>
      <c r="DD1"/>
      <c r="DE1"/>
      <c r="DF1"/>
      <c r="DG1"/>
      <c r="DH1"/>
      <c r="DQ1"/>
      <c r="DT1"/>
      <c r="DU1"/>
      <c r="DV1"/>
      <c r="DW1"/>
      <c r="DX1"/>
      <c r="DY1"/>
    </row>
    <row r="2" spans="1:136" x14ac:dyDescent="0.2">
      <c r="B2"/>
      <c r="D2"/>
      <c r="E2"/>
      <c r="F2"/>
      <c r="G2"/>
      <c r="H2" s="39"/>
      <c r="I2"/>
      <c r="J2"/>
      <c r="P2"/>
      <c r="Q2"/>
      <c r="S2"/>
      <c r="V2"/>
      <c r="W2"/>
      <c r="X2"/>
      <c r="Y2"/>
      <c r="Z2"/>
      <c r="AA2"/>
      <c r="AJ2"/>
      <c r="AM2"/>
      <c r="AN2"/>
      <c r="AO2"/>
      <c r="AP2"/>
      <c r="AQ2"/>
      <c r="AR2"/>
      <c r="BA2"/>
      <c r="BD2"/>
      <c r="BE2"/>
      <c r="BF2"/>
      <c r="BG2"/>
      <c r="BH2"/>
      <c r="BI2"/>
      <c r="BR2"/>
      <c r="BU2"/>
      <c r="BV2"/>
      <c r="BW2"/>
      <c r="BX2"/>
      <c r="BY2"/>
      <c r="BZ2"/>
      <c r="CI2"/>
      <c r="CL2"/>
      <c r="CM2"/>
      <c r="CN2"/>
      <c r="CO2"/>
      <c r="CP2"/>
      <c r="CQ2"/>
      <c r="CZ2"/>
      <c r="DC2"/>
      <c r="DD2"/>
      <c r="DE2"/>
      <c r="DF2"/>
      <c r="DG2"/>
      <c r="DH2"/>
      <c r="DQ2"/>
      <c r="DT2"/>
      <c r="DU2"/>
      <c r="DV2"/>
      <c r="DW2"/>
      <c r="DX2"/>
      <c r="DY2"/>
    </row>
    <row r="3" spans="1:136" s="11" customFormat="1" ht="19.5" x14ac:dyDescent="0.3">
      <c r="A3"/>
      <c r="B3" s="11" t="s">
        <v>182</v>
      </c>
      <c r="O3" s="34"/>
      <c r="S3" s="11" t="s">
        <v>183</v>
      </c>
      <c r="AJ3" s="11" t="s">
        <v>3</v>
      </c>
      <c r="BA3" s="11" t="s">
        <v>184</v>
      </c>
      <c r="BR3" s="11" t="s">
        <v>185</v>
      </c>
      <c r="CI3" s="11" t="s">
        <v>186</v>
      </c>
      <c r="CJ3"/>
      <c r="CK3"/>
      <c r="CL3"/>
      <c r="CM3"/>
      <c r="CN3"/>
      <c r="CO3"/>
      <c r="CP3"/>
      <c r="CQ3" s="8"/>
      <c r="CZ3" s="11" t="s">
        <v>51</v>
      </c>
      <c r="DA3"/>
      <c r="DB3"/>
      <c r="DC3"/>
      <c r="DD3"/>
      <c r="DE3"/>
      <c r="DF3"/>
      <c r="DG3"/>
      <c r="DH3" s="8"/>
      <c r="DQ3" s="11" t="s">
        <v>187</v>
      </c>
      <c r="DR3"/>
      <c r="DS3"/>
      <c r="DT3"/>
      <c r="DU3"/>
      <c r="DV3"/>
      <c r="DW3"/>
      <c r="DX3"/>
      <c r="DY3" s="8"/>
    </row>
    <row r="4" spans="1:136" x14ac:dyDescent="0.2">
      <c r="B4" s="1"/>
      <c r="D4"/>
      <c r="E4"/>
      <c r="F4"/>
      <c r="G4"/>
      <c r="I4"/>
      <c r="J4"/>
      <c r="P4"/>
      <c r="Q4"/>
      <c r="S4"/>
      <c r="V4"/>
      <c r="W4"/>
      <c r="X4"/>
      <c r="Y4"/>
      <c r="Z4"/>
      <c r="AA4"/>
      <c r="AJ4"/>
      <c r="AM4"/>
      <c r="AN4"/>
      <c r="AO4"/>
      <c r="AP4"/>
      <c r="AQ4"/>
      <c r="AR4"/>
      <c r="BA4"/>
      <c r="BD4"/>
      <c r="BE4"/>
      <c r="BF4"/>
      <c r="BG4"/>
      <c r="BH4"/>
      <c r="BI4"/>
      <c r="BR4"/>
      <c r="BU4"/>
      <c r="BV4"/>
      <c r="BW4"/>
      <c r="BX4"/>
      <c r="BY4"/>
      <c r="BZ4"/>
      <c r="CI4" s="1"/>
      <c r="CL4"/>
      <c r="CM4"/>
      <c r="CN4"/>
      <c r="CO4"/>
      <c r="CP4"/>
      <c r="CZ4" s="1"/>
      <c r="DC4"/>
      <c r="DD4"/>
      <c r="DE4"/>
      <c r="DF4"/>
      <c r="DG4"/>
      <c r="DQ4" s="1"/>
      <c r="DT4"/>
      <c r="DU4"/>
      <c r="DV4"/>
      <c r="DW4"/>
      <c r="DX4"/>
    </row>
    <row r="5" spans="1:136" x14ac:dyDescent="0.2">
      <c r="B5" s="21" t="s">
        <v>0</v>
      </c>
      <c r="C5" s="19" t="s">
        <v>10</v>
      </c>
      <c r="D5" s="19" t="s">
        <v>8</v>
      </c>
      <c r="E5" s="19" t="s">
        <v>4</v>
      </c>
      <c r="F5" s="19" t="s">
        <v>5</v>
      </c>
      <c r="G5" s="19" t="s">
        <v>6</v>
      </c>
      <c r="H5" s="19" t="s">
        <v>7</v>
      </c>
      <c r="I5" s="19" t="s">
        <v>37</v>
      </c>
      <c r="J5" s="20" t="s">
        <v>111</v>
      </c>
      <c r="P5"/>
      <c r="Q5"/>
      <c r="S5" s="21" t="s">
        <v>0</v>
      </c>
      <c r="T5" s="19" t="s">
        <v>10</v>
      </c>
      <c r="U5" s="19" t="s">
        <v>8</v>
      </c>
      <c r="V5" s="19" t="s">
        <v>4</v>
      </c>
      <c r="W5" s="19" t="s">
        <v>5</v>
      </c>
      <c r="X5" s="19" t="s">
        <v>6</v>
      </c>
      <c r="Y5" s="19" t="s">
        <v>7</v>
      </c>
      <c r="Z5" s="19" t="s">
        <v>37</v>
      </c>
      <c r="AA5" s="20" t="s">
        <v>111</v>
      </c>
      <c r="AJ5" s="21" t="s">
        <v>0</v>
      </c>
      <c r="AK5" s="19" t="s">
        <v>10</v>
      </c>
      <c r="AL5" s="19" t="s">
        <v>8</v>
      </c>
      <c r="AM5" s="19" t="s">
        <v>4</v>
      </c>
      <c r="AN5" s="19" t="s">
        <v>5</v>
      </c>
      <c r="AO5" s="19" t="s">
        <v>6</v>
      </c>
      <c r="AP5" s="19" t="s">
        <v>7</v>
      </c>
      <c r="AQ5" s="19" t="s">
        <v>37</v>
      </c>
      <c r="AR5" s="20" t="s">
        <v>111</v>
      </c>
      <c r="BA5" s="21" t="s">
        <v>0</v>
      </c>
      <c r="BB5" s="19" t="s">
        <v>10</v>
      </c>
      <c r="BC5" s="19" t="s">
        <v>8</v>
      </c>
      <c r="BD5" s="19" t="s">
        <v>4</v>
      </c>
      <c r="BE5" s="19" t="s">
        <v>5</v>
      </c>
      <c r="BF5" s="19" t="s">
        <v>6</v>
      </c>
      <c r="BG5" s="19" t="s">
        <v>7</v>
      </c>
      <c r="BH5" s="19" t="s">
        <v>37</v>
      </c>
      <c r="BI5" s="20" t="s">
        <v>111</v>
      </c>
      <c r="BR5" s="21" t="s">
        <v>0</v>
      </c>
      <c r="BS5" s="19" t="s">
        <v>10</v>
      </c>
      <c r="BT5" s="19" t="s">
        <v>8</v>
      </c>
      <c r="BU5" s="19" t="s">
        <v>4</v>
      </c>
      <c r="BV5" s="19" t="s">
        <v>5</v>
      </c>
      <c r="BW5" s="19" t="s">
        <v>6</v>
      </c>
      <c r="BX5" s="19" t="s">
        <v>7</v>
      </c>
      <c r="BY5" s="19" t="s">
        <v>37</v>
      </c>
      <c r="BZ5" s="20" t="s">
        <v>111</v>
      </c>
      <c r="CA5" s="24"/>
      <c r="CI5" s="21" t="s">
        <v>0</v>
      </c>
      <c r="CJ5" s="19" t="s">
        <v>10</v>
      </c>
      <c r="CK5" s="19" t="s">
        <v>8</v>
      </c>
      <c r="CL5" s="19" t="s">
        <v>4</v>
      </c>
      <c r="CM5" s="19" t="s">
        <v>5</v>
      </c>
      <c r="CN5" s="19" t="s">
        <v>6</v>
      </c>
      <c r="CO5" s="19" t="s">
        <v>7</v>
      </c>
      <c r="CP5" s="19" t="s">
        <v>37</v>
      </c>
      <c r="CQ5" s="20" t="s">
        <v>111</v>
      </c>
      <c r="CZ5" s="21" t="s">
        <v>0</v>
      </c>
      <c r="DA5" s="19" t="s">
        <v>10</v>
      </c>
      <c r="DB5" s="19" t="s">
        <v>8</v>
      </c>
      <c r="DC5" s="19" t="s">
        <v>4</v>
      </c>
      <c r="DD5" s="19" t="s">
        <v>5</v>
      </c>
      <c r="DE5" s="19" t="s">
        <v>6</v>
      </c>
      <c r="DF5" s="19" t="s">
        <v>7</v>
      </c>
      <c r="DG5" s="19" t="s">
        <v>37</v>
      </c>
      <c r="DH5" s="20" t="s">
        <v>111</v>
      </c>
      <c r="DQ5" s="21" t="s">
        <v>0</v>
      </c>
      <c r="DR5" s="19" t="s">
        <v>10</v>
      </c>
      <c r="DS5" s="19" t="s">
        <v>8</v>
      </c>
      <c r="DT5" s="19" t="s">
        <v>4</v>
      </c>
      <c r="DU5" s="19" t="s">
        <v>5</v>
      </c>
      <c r="DV5" s="19" t="s">
        <v>6</v>
      </c>
      <c r="DW5" s="19" t="s">
        <v>7</v>
      </c>
      <c r="DX5" s="19" t="s">
        <v>37</v>
      </c>
      <c r="DY5" s="20" t="s">
        <v>111</v>
      </c>
    </row>
    <row r="6" spans="1:136" x14ac:dyDescent="0.2">
      <c r="B6" s="22" cm="1">
        <f t="array" ref="B6:J21">_xlfn._xlws.FILTER(DATA[],DATA[Concept]=1,0)</f>
        <v>45967</v>
      </c>
      <c r="C6" t="str">
        <v>Desktop</v>
      </c>
      <c r="D6">
        <v>1</v>
      </c>
      <c r="E6" s="15">
        <v>3296</v>
      </c>
      <c r="F6" s="15">
        <v>3808</v>
      </c>
      <c r="G6" s="15">
        <v>293</v>
      </c>
      <c r="H6" s="16">
        <v>6.3</v>
      </c>
      <c r="I6" s="6">
        <v>0.82847222222222228</v>
      </c>
      <c r="J6" s="17" t="str">
        <v>Good times</v>
      </c>
      <c r="K6" s="23">
        <f>E6</f>
        <v>3296</v>
      </c>
      <c r="P6"/>
      <c r="Q6" s="8"/>
      <c r="S6" s="27" cm="1">
        <f t="array" ref="S6:AA39">_xlfn._xlws.FILTER(DATA[],DATA[Concept]=2,0)</f>
        <v>45968</v>
      </c>
      <c r="T6" t="str">
        <v>ATL w AMP</v>
      </c>
      <c r="U6">
        <v>2</v>
      </c>
      <c r="V6" s="5">
        <v>3532</v>
      </c>
      <c r="W6" s="5">
        <v>4734</v>
      </c>
      <c r="X6" s="5">
        <v>433</v>
      </c>
      <c r="Y6" s="3">
        <v>5.4</v>
      </c>
      <c r="Z6" s="6">
        <v>0.7006944444444444</v>
      </c>
      <c r="AA6" s="8" t="str">
        <v>Prime hours</v>
      </c>
      <c r="AH6" s="8"/>
      <c r="AJ6" s="27" cm="1">
        <f t="array" ref="AJ6:AR19">_xlfn._xlws.FILTER(DATA[],DATA[Concept]=3,0)</f>
        <v>45974</v>
      </c>
      <c r="AK6" t="str">
        <v>Sisathon party</v>
      </c>
      <c r="AL6">
        <v>3</v>
      </c>
      <c r="AM6" s="5">
        <v>4302</v>
      </c>
      <c r="AN6" s="5">
        <v>5867</v>
      </c>
      <c r="AO6" s="5">
        <v>609</v>
      </c>
      <c r="AP6" s="3">
        <v>7.4</v>
      </c>
      <c r="AQ6" s="6">
        <v>0.87638888888888888</v>
      </c>
      <c r="AR6" s="8" t="str">
        <v>Late-night</v>
      </c>
      <c r="AY6" s="8"/>
      <c r="BA6" s="27" cm="1">
        <f t="array" ref="BA6:BI18">_xlfn._xlws.FILTER(DATA[],DATA[Concept]=4,0)</f>
        <v>45973</v>
      </c>
      <c r="BB6" t="str">
        <v>Sisathon + Barky</v>
      </c>
      <c r="BC6">
        <v>4</v>
      </c>
      <c r="BD6" s="5">
        <v>3918</v>
      </c>
      <c r="BE6" s="5">
        <v>7881</v>
      </c>
      <c r="BF6" s="5">
        <v>801</v>
      </c>
      <c r="BG6" s="3">
        <v>12.2</v>
      </c>
      <c r="BH6" s="6">
        <v>0.71180555555555558</v>
      </c>
      <c r="BI6" s="8" t="str">
        <v>Good times</v>
      </c>
      <c r="BP6" s="8"/>
      <c r="BR6" s="27" cm="1">
        <f t="array" ref="BR6:BZ32">_xlfn._xlws.FILTER(DATA[],DATA[Concept]=5,0)</f>
        <v>45972</v>
      </c>
      <c r="BS6" t="str">
        <v>Buying temu motorcycle</v>
      </c>
      <c r="BT6">
        <v>5</v>
      </c>
      <c r="BU6" s="5">
        <v>5557</v>
      </c>
      <c r="BV6" s="5">
        <v>9005</v>
      </c>
      <c r="BW6" s="5">
        <v>524</v>
      </c>
      <c r="BX6" s="3">
        <v>9.1999999999999993</v>
      </c>
      <c r="BY6" s="6">
        <v>0.71805555555555556</v>
      </c>
      <c r="BZ6" s="8" t="str">
        <v>Good times</v>
      </c>
      <c r="CG6" s="8"/>
      <c r="CI6" s="27" cm="1">
        <f t="array" ref="CI6:CQ10">_xlfn._xlws.FILTER(DATA[],DATA[Concept]=6,0)</f>
        <v>45976</v>
      </c>
      <c r="CJ6" t="str">
        <v>Baking &amp; painting w Maru</v>
      </c>
      <c r="CK6">
        <v>6</v>
      </c>
      <c r="CL6" s="5">
        <v>5387</v>
      </c>
      <c r="CM6" s="5">
        <v>6738</v>
      </c>
      <c r="CN6" s="5">
        <v>534</v>
      </c>
      <c r="CO6" s="3">
        <v>4.9000000000000004</v>
      </c>
      <c r="CP6" s="6">
        <v>0.76249999999999996</v>
      </c>
      <c r="CQ6" s="8" t="str">
        <v>Good times</v>
      </c>
      <c r="CX6" s="8"/>
      <c r="CZ6" s="22" cm="1">
        <f t="array" ref="CZ6:DH19">_xlfn._xlws.FILTER(DATA[],DATA[Concept]=7,0)</f>
        <v>45997</v>
      </c>
      <c r="DA6" t="str">
        <v>Streamer awards</v>
      </c>
      <c r="DB6">
        <v>7</v>
      </c>
      <c r="DC6" s="5">
        <v>2987</v>
      </c>
      <c r="DD6" s="5">
        <v>6110</v>
      </c>
      <c r="DE6" s="5">
        <v>387</v>
      </c>
      <c r="DF6" s="3">
        <v>2.1</v>
      </c>
      <c r="DG6" s="6">
        <v>0.65069444444444446</v>
      </c>
      <c r="DH6" s="8" t="str">
        <v>Prime hours</v>
      </c>
      <c r="DO6" s="8"/>
      <c r="DQ6" s="22" cm="1">
        <f t="array" ref="DQ6:DY10">_xlfn._xlws.FILTER(DATA[],DATA[Concept]=8,0)</f>
        <v>46083</v>
      </c>
      <c r="DR6" t="str">
        <v xml:space="preserve">India, lost in </v>
      </c>
      <c r="DS6">
        <v>8</v>
      </c>
      <c r="DT6" s="5">
        <v>6357</v>
      </c>
      <c r="DU6" s="5">
        <v>8022</v>
      </c>
      <c r="DV6" s="5">
        <v>921</v>
      </c>
      <c r="DW6" s="3">
        <v>6</v>
      </c>
      <c r="DX6" s="6">
        <v>0.85555555555555551</v>
      </c>
      <c r="DY6" s="8" t="str">
        <v>Late-night</v>
      </c>
      <c r="EF6" s="8"/>
    </row>
    <row r="7" spans="1:136" x14ac:dyDescent="0.2">
      <c r="B7" s="22">
        <v>45977</v>
      </c>
      <c r="C7" t="str">
        <v>Streamer awards nominations</v>
      </c>
      <c r="D7">
        <v>1</v>
      </c>
      <c r="E7" s="15">
        <v>3922</v>
      </c>
      <c r="F7" s="15">
        <v>8648</v>
      </c>
      <c r="G7" s="15">
        <v>528</v>
      </c>
      <c r="H7" s="4">
        <v>3.9</v>
      </c>
      <c r="I7" s="7">
        <v>0.5</v>
      </c>
      <c r="J7" s="17" t="str">
        <v>Great times</v>
      </c>
      <c r="K7" s="23">
        <f t="shared" ref="K7:K17" si="0">E7</f>
        <v>3922</v>
      </c>
      <c r="O7" s="8" t="s">
        <v>129</v>
      </c>
      <c r="P7" s="8" t="s">
        <v>4</v>
      </c>
      <c r="Q7" s="8" t="s">
        <v>133</v>
      </c>
      <c r="S7" s="22">
        <v>45969</v>
      </c>
      <c r="T7" t="str">
        <v>ATL w Clovaaaaa</v>
      </c>
      <c r="U7">
        <v>2</v>
      </c>
      <c r="V7" s="5">
        <v>3297</v>
      </c>
      <c r="W7" s="5">
        <v>4237</v>
      </c>
      <c r="X7" s="5">
        <v>434</v>
      </c>
      <c r="Y7" s="3">
        <v>6.8</v>
      </c>
      <c r="Z7" s="6">
        <v>0.72847222222222219</v>
      </c>
      <c r="AA7" s="8" t="str">
        <v>Good times</v>
      </c>
      <c r="AF7" s="8" t="s">
        <v>129</v>
      </c>
      <c r="AG7" s="8" t="s">
        <v>4</v>
      </c>
      <c r="AH7" s="8" t="s">
        <v>133</v>
      </c>
      <c r="AI7" s="8"/>
      <c r="AJ7" s="22">
        <v>45981</v>
      </c>
      <c r="AK7" t="str">
        <v>Science experiments</v>
      </c>
      <c r="AL7">
        <v>3</v>
      </c>
      <c r="AM7" s="5">
        <v>3596</v>
      </c>
      <c r="AN7" s="5">
        <v>4158</v>
      </c>
      <c r="AO7" s="5">
        <v>98</v>
      </c>
      <c r="AP7" s="3">
        <v>1.5</v>
      </c>
      <c r="AQ7" s="6">
        <v>0.81458333333333333</v>
      </c>
      <c r="AR7" s="8" t="str">
        <v>Good times</v>
      </c>
      <c r="AW7" s="8" t="s">
        <v>129</v>
      </c>
      <c r="AX7" s="8" t="s">
        <v>4</v>
      </c>
      <c r="AY7" s="8" t="s">
        <v>133</v>
      </c>
      <c r="AZ7" s="8"/>
      <c r="BA7" s="22">
        <v>46010</v>
      </c>
      <c r="BB7" t="str">
        <v>Laxative escape room + barky</v>
      </c>
      <c r="BC7">
        <v>4</v>
      </c>
      <c r="BD7" s="5">
        <v>7345</v>
      </c>
      <c r="BE7" s="5">
        <v>11817</v>
      </c>
      <c r="BF7" s="5">
        <v>807</v>
      </c>
      <c r="BG7" s="3">
        <v>9.6999999999999993</v>
      </c>
      <c r="BH7" s="6">
        <v>0.6958333333333333</v>
      </c>
      <c r="BI7" s="8" t="str">
        <v>Prime hours</v>
      </c>
      <c r="BN7" s="8" t="s">
        <v>129</v>
      </c>
      <c r="BO7" s="8" t="s">
        <v>4</v>
      </c>
      <c r="BP7" s="8" t="s">
        <v>133</v>
      </c>
      <c r="BQ7" s="8"/>
      <c r="BR7" s="22">
        <v>45975</v>
      </c>
      <c r="BS7" t="str">
        <v>OSCS paintball</v>
      </c>
      <c r="BT7">
        <v>5</v>
      </c>
      <c r="BU7" s="5">
        <v>2420</v>
      </c>
      <c r="BV7" s="5">
        <v>3161</v>
      </c>
      <c r="BW7" s="5">
        <v>239</v>
      </c>
      <c r="BX7" s="3">
        <v>2.6</v>
      </c>
      <c r="BY7" s="6">
        <v>0.61458333333333337</v>
      </c>
      <c r="BZ7" s="8" t="str">
        <v>Prime hours</v>
      </c>
      <c r="CE7" s="8" t="s">
        <v>129</v>
      </c>
      <c r="CF7" s="8" t="s">
        <v>4</v>
      </c>
      <c r="CG7" s="8" t="s">
        <v>133</v>
      </c>
      <c r="CH7" s="8"/>
      <c r="CI7" s="22">
        <v>46000</v>
      </c>
      <c r="CJ7" t="str">
        <v>OSCS Lake Tahoe roadtrip</v>
      </c>
      <c r="CK7">
        <v>6</v>
      </c>
      <c r="CL7" s="5">
        <v>5596</v>
      </c>
      <c r="CM7" s="5">
        <v>7642</v>
      </c>
      <c r="CN7" s="5">
        <v>1279</v>
      </c>
      <c r="CO7" s="3">
        <v>13.7</v>
      </c>
      <c r="CP7" s="6">
        <v>0.65347222222222223</v>
      </c>
      <c r="CQ7" s="8" t="str">
        <v>Prime hours</v>
      </c>
      <c r="CV7" s="8" t="s">
        <v>129</v>
      </c>
      <c r="CW7" s="8" t="s">
        <v>4</v>
      </c>
      <c r="CX7" s="8" t="s">
        <v>133</v>
      </c>
      <c r="CY7" s="8"/>
      <c r="CZ7" s="22">
        <v>46012</v>
      </c>
      <c r="DA7" t="str">
        <v>QT Concert</v>
      </c>
      <c r="DB7">
        <v>7</v>
      </c>
      <c r="DC7" s="5">
        <v>6643</v>
      </c>
      <c r="DD7" s="5">
        <v>11966</v>
      </c>
      <c r="DE7" s="5">
        <v>655</v>
      </c>
      <c r="DF7" s="3">
        <v>9.9</v>
      </c>
      <c r="DG7" s="6">
        <v>0.68194444444444446</v>
      </c>
      <c r="DH7" s="8" t="str">
        <v>Prime hours</v>
      </c>
      <c r="DM7" s="8" t="s">
        <v>129</v>
      </c>
      <c r="DN7" s="8" t="s">
        <v>4</v>
      </c>
      <c r="DO7" s="8" t="s">
        <v>133</v>
      </c>
      <c r="DP7" s="8"/>
      <c r="DQ7" s="22">
        <v>46084</v>
      </c>
      <c r="DR7" t="str">
        <v>India, holi festival</v>
      </c>
      <c r="DS7">
        <v>8</v>
      </c>
      <c r="DT7" s="5">
        <v>5671</v>
      </c>
      <c r="DU7" s="5">
        <v>7400</v>
      </c>
      <c r="DV7" s="5">
        <v>628</v>
      </c>
      <c r="DW7" s="3">
        <v>6.1</v>
      </c>
      <c r="DX7" s="6">
        <v>0.95763888888888893</v>
      </c>
      <c r="DY7" s="8" t="str">
        <v>GG EST mfs</v>
      </c>
      <c r="ED7" s="8" t="s">
        <v>129</v>
      </c>
      <c r="EE7" s="8" t="s">
        <v>4</v>
      </c>
      <c r="EF7" s="8" t="s">
        <v>133</v>
      </c>
    </row>
    <row r="8" spans="1:136" x14ac:dyDescent="0.2">
      <c r="B8" s="22">
        <v>45979</v>
      </c>
      <c r="C8" t="str">
        <v>Triple Threat gaming</v>
      </c>
      <c r="D8">
        <v>1</v>
      </c>
      <c r="E8" s="15">
        <v>3496</v>
      </c>
      <c r="F8" s="15">
        <v>7090</v>
      </c>
      <c r="G8" s="15">
        <v>521</v>
      </c>
      <c r="H8" s="16">
        <v>10.1</v>
      </c>
      <c r="I8" s="6">
        <v>0.85416666666666663</v>
      </c>
      <c r="J8" s="17" t="str">
        <v>Late-night</v>
      </c>
      <c r="K8" s="23">
        <f t="shared" si="0"/>
        <v>3496</v>
      </c>
      <c r="L8" t="s">
        <v>4</v>
      </c>
      <c r="M8" s="18">
        <f>AVERAGE(E6:E1048576)</f>
        <v>5373.3125</v>
      </c>
      <c r="N8" t="s">
        <v>118</v>
      </c>
      <c r="O8" s="35" cm="1">
        <f t="array" ref="O8">SUM(IF($J$6:$J$1340=N8,(($H$6:$H$1340)),0))/$M$12</f>
        <v>0.17443729903536975</v>
      </c>
      <c r="P8" s="9" cm="1">
        <f t="array" ref="P8">SUM(IF($J$6:$J$1340=N8,($E$6:$E$1340),0))/SUM(IF($J$6:$J$1340=N8,1,0))</f>
        <v>6507</v>
      </c>
      <c r="Q8" s="9" cm="1">
        <f t="array" ref="Q8">SUM(IF($J$6:$J$1340=N8,($G$6:$G$1340),0))/SUM(IF($J$6:$J$1340=N8,1,0))</f>
        <v>868.5</v>
      </c>
      <c r="S8" s="22">
        <v>45971</v>
      </c>
      <c r="T8" t="str">
        <v>Matcha Monday w Jake</v>
      </c>
      <c r="U8">
        <v>2</v>
      </c>
      <c r="V8" s="5">
        <v>3604</v>
      </c>
      <c r="W8" s="5">
        <v>4505</v>
      </c>
      <c r="X8" s="5">
        <v>621</v>
      </c>
      <c r="Y8" s="3">
        <v>14.9</v>
      </c>
      <c r="Z8" s="6">
        <v>0.50138888888888888</v>
      </c>
      <c r="AA8" s="8" t="str">
        <v>Great times</v>
      </c>
      <c r="AC8" t="s">
        <v>4</v>
      </c>
      <c r="AD8" s="18">
        <f>AVERAGE(V6:V1048576)</f>
        <v>5015.5588235294117</v>
      </c>
      <c r="AE8" t="s">
        <v>118</v>
      </c>
      <c r="AF8" s="35" cm="1">
        <f t="array" ref="AF8">SUM(IF($AA$6:$AA$1340=AE8,(($Y$6:$Y$1340)),0))/$AD$12</f>
        <v>0.34111045481393981</v>
      </c>
      <c r="AG8" s="9" cm="1">
        <f t="array" ref="AG8">SUM(IF($AA$6:$AA$1340=AE8,($V$6:$V$1340),0))/SUM(IF($AA$6:$AA$1340=AE8,1,0))</f>
        <v>4648.083333333333</v>
      </c>
      <c r="AH8" s="9" cm="1">
        <f t="array" ref="AH8">SUM(IF($AA$6:$AA$1340=AE8,($X$6:$X$1340),0))/SUM(IF($AA$6:$AA$1340=AE8,1,0))</f>
        <v>589.66666666666663</v>
      </c>
      <c r="AJ8" s="22">
        <v>45982</v>
      </c>
      <c r="AK8" t="str">
        <v>Lost in LV</v>
      </c>
      <c r="AL8">
        <v>3</v>
      </c>
      <c r="AM8" s="5">
        <v>4810</v>
      </c>
      <c r="AN8" s="5">
        <v>7628</v>
      </c>
      <c r="AO8" s="5">
        <v>506</v>
      </c>
      <c r="AP8" s="3">
        <v>6.4</v>
      </c>
      <c r="AQ8" s="6">
        <v>0.7104166666666667</v>
      </c>
      <c r="AR8" s="8" t="str">
        <v>Good times</v>
      </c>
      <c r="AT8" t="s">
        <v>4</v>
      </c>
      <c r="AU8" s="18">
        <f>AVERAGE(AM6:AM1048576)</f>
        <v>5007</v>
      </c>
      <c r="AV8" t="s">
        <v>118</v>
      </c>
      <c r="AW8" s="35" cm="1">
        <f t="array" ref="AW8">SUM(IF($AR$6:$AR$1340=AV8,(($AP$6:$AP$1340)),0))/$AU$12</f>
        <v>0.45371142618849036</v>
      </c>
      <c r="AX8" s="9" cm="1">
        <f t="array" ref="AX8">SUM(IF($AR$6:$AR$1340=AV8,($AM$6:$AM$1340),0))/SUM(IF($AR$6:$AR$1340=AV8,1,0))</f>
        <v>4553</v>
      </c>
      <c r="AY8" s="9" cm="1">
        <f t="array" ref="AY8">SUM(IF($AR$6:$AR$1340=AV8,($AO$6:$AO$1340),0))/SUM(IF($AR$6:$AR$1340=AV8,1,0))</f>
        <v>397.83333333333331</v>
      </c>
      <c r="AZ8" s="9"/>
      <c r="BA8" s="22">
        <v>46014</v>
      </c>
      <c r="BB8" t="str">
        <v>Bonnie guess &amp; donates</v>
      </c>
      <c r="BC8">
        <v>4</v>
      </c>
      <c r="BD8" s="5">
        <v>12243</v>
      </c>
      <c r="BE8" s="5">
        <v>17633</v>
      </c>
      <c r="BF8" s="5">
        <v>1245</v>
      </c>
      <c r="BG8" s="3">
        <v>7.6</v>
      </c>
      <c r="BH8" s="6">
        <v>0.57499999999999996</v>
      </c>
      <c r="BI8" s="8" t="str">
        <v>Great times</v>
      </c>
      <c r="BK8" t="s">
        <v>4</v>
      </c>
      <c r="BL8" s="18">
        <f>AVERAGE(BD6:BD1048576)</f>
        <v>8094.3846153846152</v>
      </c>
      <c r="BM8" t="s">
        <v>118</v>
      </c>
      <c r="BN8" s="35" cm="1">
        <f t="array" ref="BN8">SUM(IF($BI$6:$BI$1340=BM8,(($BG$6:$BG$1340)),0))/$BL$12</f>
        <v>0.12188612099644126</v>
      </c>
      <c r="BO8" s="9" cm="1">
        <f t="array" ref="BO8">SUM(IF($BI$6:$BI$1340=BM8,($BD$6:$BD$1340),0))/SUM(IF($BI$6:$BI$1340=BM8,1,0))</f>
        <v>7091.5</v>
      </c>
      <c r="BP8" s="9" cm="1">
        <f t="array" ref="BP8">SUM(IF($BI$6:$BI$1340=BM8,($BF$6:$BF$1340),0))/SUM(IF($BI$6:$BI$1340=BM8,1,0))</f>
        <v>660.5</v>
      </c>
      <c r="BQ8" s="9"/>
      <c r="BR8" s="22">
        <v>45978</v>
      </c>
      <c r="BS8" t="str">
        <v>Desktop + MRE mukbang</v>
      </c>
      <c r="BT8">
        <v>5</v>
      </c>
      <c r="BU8" s="5">
        <v>4468</v>
      </c>
      <c r="BV8" s="5">
        <v>6084</v>
      </c>
      <c r="BW8" s="5">
        <v>769</v>
      </c>
      <c r="BX8" s="3">
        <v>9.9</v>
      </c>
      <c r="BY8" s="6">
        <v>0.57499999999999996</v>
      </c>
      <c r="BZ8" s="8" t="str">
        <v>Great times</v>
      </c>
      <c r="CB8" t="s">
        <v>4</v>
      </c>
      <c r="CC8" s="18">
        <f>AVERAGE(BU6:BU1048576)</f>
        <v>4942.2962962962965</v>
      </c>
      <c r="CD8" t="s">
        <v>118</v>
      </c>
      <c r="CE8" s="35" cm="1">
        <f t="array" ref="CE8">SUM(IF($BZ$6:$BZ$1340=CD8,(($BX$6:$BX$1340)),0))/$CC$12</f>
        <v>0.32456140350877194</v>
      </c>
      <c r="CF8" s="9" cm="1">
        <f t="array" ref="CF8">SUM(IF($BZ$6:$BZ$1340=CD8,($BU$6:$BU$1340),0))/SUM(IF($BZ$6:$BZ$1340=CD8,1,0))</f>
        <v>4467.75</v>
      </c>
      <c r="CG8" s="9" cm="1">
        <f t="array" ref="CG8">SUM(IF($BZ$6:$BZ$1340=CD8,($BW$6:$BW$1340),0))/SUM(IF($BZ$6:$BZ$1340=CD8,1,0))</f>
        <v>493.125</v>
      </c>
      <c r="CH8" s="9"/>
      <c r="CI8" s="22">
        <v>46001</v>
      </c>
      <c r="CJ8" t="str">
        <v>OSCS Lake Tahoe</v>
      </c>
      <c r="CK8">
        <v>6</v>
      </c>
      <c r="CL8" s="5">
        <v>5815</v>
      </c>
      <c r="CM8" s="5">
        <v>7846</v>
      </c>
      <c r="CN8" s="5">
        <v>749</v>
      </c>
      <c r="CO8" s="3">
        <v>10.8</v>
      </c>
      <c r="CP8" s="6">
        <v>0.72638888888888886</v>
      </c>
      <c r="CQ8" s="8" t="str">
        <v>Good times</v>
      </c>
      <c r="CS8" t="s">
        <v>4</v>
      </c>
      <c r="CT8" s="18">
        <f>AVERAGE(CL6:CL1048576)</f>
        <v>5911.2</v>
      </c>
      <c r="CU8" t="s">
        <v>118</v>
      </c>
      <c r="CV8" s="35" cm="1">
        <f t="array" ref="CV8">SUM(IF($CQ$6:$CQ$1340=CU8,(($CO$6:$CO$1340)),0))/$CT$12</f>
        <v>0.30109890109890103</v>
      </c>
      <c r="CW8" s="9" cm="1">
        <f t="array" ref="CW8">SUM(IF($CQ$6:$CQ$1340=CU8,($CL$6:$CL$1340),0))/SUM(IF($CQ$6:$CQ$1340=CU8,1,0))</f>
        <v>5596</v>
      </c>
      <c r="CX8" s="9" cm="1">
        <f t="array" ref="CX8">SUM(IF($CQ$6:$CQ$1340=CU8,($CN$6:$CN$1340),0))/SUM(IF($CQ$6:$CQ$1340=CU8,1,0))</f>
        <v>1279</v>
      </c>
      <c r="CY8" s="9"/>
      <c r="CZ8" s="22">
        <v>46041</v>
      </c>
      <c r="DA8" t="str">
        <v>Last to fall asleep</v>
      </c>
      <c r="DB8">
        <v>7</v>
      </c>
      <c r="DC8" s="5">
        <v>6404</v>
      </c>
      <c r="DD8" s="5">
        <v>9394</v>
      </c>
      <c r="DE8" s="5">
        <v>631</v>
      </c>
      <c r="DF8" s="3">
        <v>10.5</v>
      </c>
      <c r="DG8" s="6">
        <v>0.78611111111111109</v>
      </c>
      <c r="DH8" s="8" t="str">
        <v>Good times</v>
      </c>
      <c r="DJ8" t="s">
        <v>4</v>
      </c>
      <c r="DK8" s="18">
        <f>AVERAGE(DC6:DC1048576)</f>
        <v>5212</v>
      </c>
      <c r="DL8" t="s">
        <v>118</v>
      </c>
      <c r="DM8" s="35" cm="1">
        <f t="array" ref="DM8">SUM(IF($DH$6:$DH$1340=DL8,(($DF$6:$DF$1340)),0))/$DK$12</f>
        <v>0.37521968365553604</v>
      </c>
      <c r="DN8" s="9" cm="1">
        <f t="array" ref="DN8">SUM(IF($DH$6:$DH$1340=DL8,($DC$6:$DC$1340),0))/SUM(IF($DH$6:$DH$1340=DL8,1,0))</f>
        <v>5539.166666666667</v>
      </c>
      <c r="DO8" s="9" cm="1">
        <f t="array" ref="DO8">SUM(IF($DH$6:$DH$1340=DL8,($DE$6:$DE$1340),0))/SUM(IF($DH$6:$DH$1340=DL8,1,0))</f>
        <v>492.66666666666669</v>
      </c>
      <c r="DP8" s="9"/>
      <c r="DQ8" s="22">
        <v>46085</v>
      </c>
      <c r="DR8" t="str">
        <v>India, doug doug</v>
      </c>
      <c r="DS8">
        <v>8</v>
      </c>
      <c r="DT8" s="5">
        <v>4134</v>
      </c>
      <c r="DU8" s="5">
        <v>5489</v>
      </c>
      <c r="DV8" s="5">
        <v>368</v>
      </c>
      <c r="DW8" s="3">
        <v>6.1</v>
      </c>
      <c r="DX8" s="6">
        <v>0.87291666666666667</v>
      </c>
      <c r="DY8" s="8" t="str">
        <v>Late-night</v>
      </c>
      <c r="EA8" t="s">
        <v>4</v>
      </c>
      <c r="EB8" s="18">
        <f>AVERAGE(DT6:DT1048576)</f>
        <v>4829.3999999999996</v>
      </c>
      <c r="EC8" t="s">
        <v>118</v>
      </c>
      <c r="ED8" s="35" cm="1">
        <f t="array" ref="ED8">SUM(IF($DY$6:$DY$1340=EC8,(($DW$6:$DW$1340)),0))/$EB$12</f>
        <v>0.47550432276657056</v>
      </c>
      <c r="EE8" s="9" cm="1">
        <f t="array" ref="EE8">SUM(IF($DY$6:$DY$1340=EC8,($DT$6:$DT$1340),0))/SUM(IF($DY$6:$DY$1340=EC8,1,0))</f>
        <v>3992.5</v>
      </c>
      <c r="EF8" s="9" cm="1">
        <f t="array" ref="EF8">SUM(IF($DY$6:$DY$1340=EC8,($DV$6:$DV$1340),0))/SUM(IF($DY$6:$DY$1340=EC8,1,0))</f>
        <v>233.5</v>
      </c>
    </row>
    <row r="9" spans="1:136" x14ac:dyDescent="0.2">
      <c r="B9" s="22">
        <v>45992</v>
      </c>
      <c r="C9" t="str">
        <v>Arkmas gaming</v>
      </c>
      <c r="D9">
        <v>1</v>
      </c>
      <c r="E9" s="15">
        <v>3006</v>
      </c>
      <c r="F9" s="15">
        <v>4264</v>
      </c>
      <c r="G9" s="15">
        <v>338</v>
      </c>
      <c r="H9" s="4">
        <v>10</v>
      </c>
      <c r="I9" s="7">
        <v>0.73888888888888893</v>
      </c>
      <c r="J9" s="17" t="str">
        <v>Good times</v>
      </c>
      <c r="K9" s="23">
        <f t="shared" si="0"/>
        <v>3006</v>
      </c>
      <c r="L9" t="s">
        <v>124</v>
      </c>
      <c r="M9" s="18">
        <f>AVERAGE(F6:F1048576)</f>
        <v>8598.0625</v>
      </c>
      <c r="N9" t="s">
        <v>117</v>
      </c>
      <c r="O9" s="35" cm="1">
        <f t="array" ref="O9">SUM(IF($J$6:$J$1340=N9,(($H$6:$H$1340)),0))/$M$12</f>
        <v>0.15434083601286172</v>
      </c>
      <c r="P9" s="9" cm="1">
        <f t="array" ref="P9">SUM(IF($J$6:$J$1340=N9,($E$6:$E$1340),0))/SUM(IF($J$6:$J$1340=N9,1,0))</f>
        <v>7483</v>
      </c>
      <c r="Q9" s="9" cm="1">
        <f t="array" ref="Q9">SUM(IF($J$6:$J$1340=N9,($G$6:$G$1340),0))/SUM(IF($J$6:$J$1340=N9,1,0))</f>
        <v>549</v>
      </c>
      <c r="S9" s="22">
        <v>45987</v>
      </c>
      <c r="T9" t="str">
        <v>Pilates + Thanksgiving FaZe cooking</v>
      </c>
      <c r="U9">
        <v>2</v>
      </c>
      <c r="V9" s="5">
        <v>5500</v>
      </c>
      <c r="W9" s="5">
        <v>10079</v>
      </c>
      <c r="X9" s="5">
        <v>1191</v>
      </c>
      <c r="Y9" s="3">
        <v>11.5</v>
      </c>
      <c r="Z9" s="6">
        <v>0.51458333333333328</v>
      </c>
      <c r="AA9" s="8" t="str">
        <v>Great times</v>
      </c>
      <c r="AC9" t="s">
        <v>124</v>
      </c>
      <c r="AD9" s="18">
        <f>AVERAGE(W6:W1048576)</f>
        <v>7933.911764705882</v>
      </c>
      <c r="AE9" t="s">
        <v>117</v>
      </c>
      <c r="AF9" s="35" cm="1">
        <f t="array" ref="AF9">SUM(IF($AA$6:$AA$1340=AE9,(($Y$6:$Y$1340)),0))/$AD$12</f>
        <v>0.46544595392793858</v>
      </c>
      <c r="AG9" s="9" cm="1">
        <f t="array" ref="AG9">SUM(IF($AA$6:$AA$1340=AE9,($V$6:$V$1340),0))/SUM(IF($AA$6:$AA$1340=AE9,1,0))</f>
        <v>5326.1428571428569</v>
      </c>
      <c r="AH9" s="9" cm="1">
        <f t="array" ref="AH9">SUM(IF($AA$6:$AA$1340=AE9,($X$6:$X$1340),0))/SUM(IF($AA$6:$AA$1340=AE9,1,0))</f>
        <v>759.71428571428567</v>
      </c>
      <c r="AJ9" s="22">
        <v>45985</v>
      </c>
      <c r="AK9" t="str">
        <v>Extreme escape room</v>
      </c>
      <c r="AL9">
        <v>3</v>
      </c>
      <c r="AM9" s="5">
        <v>4839</v>
      </c>
      <c r="AN9" s="5">
        <v>7731</v>
      </c>
      <c r="AO9" s="5">
        <v>541</v>
      </c>
      <c r="AP9" s="3">
        <v>7.7</v>
      </c>
      <c r="AQ9" s="6">
        <v>0.85763888888888884</v>
      </c>
      <c r="AR9" s="8" t="str">
        <v>Late-night</v>
      </c>
      <c r="AT9" t="s">
        <v>124</v>
      </c>
      <c r="AU9" s="18">
        <f>AVERAGE(AN6:AN1048576)</f>
        <v>7795.9285714285716</v>
      </c>
      <c r="AV9" t="s">
        <v>117</v>
      </c>
      <c r="AW9" s="35" cm="1">
        <f t="array" ref="AW9">SUM(IF($AR$6:$AR$1340=AV9,(($AP$6:$AP$1340)),0))/$AU$12</f>
        <v>0.22268557130942451</v>
      </c>
      <c r="AX9" s="9" cm="1">
        <f t="array" ref="AX9">SUM(IF($AR$6:$AR$1340=AV9,($AM$6:$AM$1340),0))/SUM(IF($AR$6:$AR$1340=AV9,1,0))</f>
        <v>4439.5</v>
      </c>
      <c r="AY9" s="9" cm="1">
        <f t="array" ref="AY9">SUM(IF($AR$6:$AR$1340=AV9,($AO$6:$AO$1340),0))/SUM(IF($AR$6:$AR$1340=AV9,1,0))</f>
        <v>401</v>
      </c>
      <c r="BA9" s="22">
        <v>46025</v>
      </c>
      <c r="BB9" t="str">
        <v>Shopping for Emi bday</v>
      </c>
      <c r="BC9">
        <v>4</v>
      </c>
      <c r="BD9" s="5">
        <v>6838</v>
      </c>
      <c r="BE9" s="5">
        <v>7666</v>
      </c>
      <c r="BF9" s="5">
        <v>514</v>
      </c>
      <c r="BG9" s="3">
        <v>4</v>
      </c>
      <c r="BH9" s="6">
        <v>0.60902777777777772</v>
      </c>
      <c r="BI9" s="8" t="str">
        <v>Prime hours</v>
      </c>
      <c r="BK9" t="s">
        <v>124</v>
      </c>
      <c r="BL9" s="18">
        <f>AVERAGE(BE6:BE1048576)</f>
        <v>11344.076923076924</v>
      </c>
      <c r="BM9" t="s">
        <v>117</v>
      </c>
      <c r="BN9" s="35" cm="1">
        <f t="array" ref="BN9">SUM(IF($BI$6:$BI$1340=BM9,(($BG$6:$BG$1340)),0))/$BL$12</f>
        <v>6.7615658362989314E-2</v>
      </c>
      <c r="BO9" s="9" cm="1">
        <f t="array" ref="BO9">SUM(IF($BI$6:$BI$1340=BM9,($BD$6:$BD$1340),0))/SUM(IF($BI$6:$BI$1340=BM9,1,0))</f>
        <v>12243</v>
      </c>
      <c r="BP9" s="9" cm="1">
        <f t="array" ref="BP9">SUM(IF($BI$6:$BI$1340=BM9,($BF$6:$BF$1340),0))/SUM(IF($BI$6:$BI$1340=BM9,1,0))</f>
        <v>1245</v>
      </c>
      <c r="BR9" s="22">
        <v>45983</v>
      </c>
      <c r="BS9" t="str">
        <v>Doug Doug + Desktop</v>
      </c>
      <c r="BT9">
        <v>5</v>
      </c>
      <c r="BU9" s="5">
        <v>3519</v>
      </c>
      <c r="BV9" s="5">
        <v>4758</v>
      </c>
      <c r="BW9" s="5">
        <v>733</v>
      </c>
      <c r="BX9" s="3">
        <v>13.5</v>
      </c>
      <c r="BY9" s="6">
        <v>0.82361111111111107</v>
      </c>
      <c r="BZ9" s="8" t="str">
        <v>Good times</v>
      </c>
      <c r="CB9" t="s">
        <v>124</v>
      </c>
      <c r="CC9" s="18">
        <f>AVERAGE(BV6:BV1048576)</f>
        <v>7524.9629629629626</v>
      </c>
      <c r="CD9" t="s">
        <v>117</v>
      </c>
      <c r="CE9" s="35" cm="1">
        <f t="array" ref="CE9">SUM(IF($BZ$6:$BZ$1340=CD9,(($BX$6:$BX$1340)),0))/$CC$12</f>
        <v>0.27307398932112892</v>
      </c>
      <c r="CF9" s="9" cm="1">
        <f t="array" ref="CF9">SUM(IF($BZ$6:$BZ$1340=CD9,($BU$6:$BU$1340),0))/SUM(IF($BZ$6:$BZ$1340=CD9,1,0))</f>
        <v>4371.1428571428569</v>
      </c>
      <c r="CG9" s="9" cm="1">
        <f t="array" ref="CG9">SUM(IF($BZ$6:$BZ$1340=CD9,($BW$6:$BW$1340),0))/SUM(IF($BZ$6:$BZ$1340=CD9,1,0))</f>
        <v>493.14285714285717</v>
      </c>
      <c r="CI9" s="22">
        <v>46007</v>
      </c>
      <c r="CJ9" t="str">
        <v>Painting w Ethero sob</v>
      </c>
      <c r="CK9">
        <v>6</v>
      </c>
      <c r="CL9" s="5">
        <v>5016</v>
      </c>
      <c r="CM9" s="5">
        <v>6480</v>
      </c>
      <c r="CN9" s="5">
        <v>396</v>
      </c>
      <c r="CO9" s="3">
        <v>7.5</v>
      </c>
      <c r="CP9" s="6">
        <v>0.92152777777777772</v>
      </c>
      <c r="CQ9" s="8" t="str">
        <v>GG EST mfs</v>
      </c>
      <c r="CS9" t="s">
        <v>124</v>
      </c>
      <c r="CT9" s="18">
        <f>AVERAGE(CM6:CM1048576)</f>
        <v>7996.8</v>
      </c>
      <c r="CU9" t="s">
        <v>117</v>
      </c>
      <c r="CV9" s="35" cm="1">
        <f t="array" ref="CV9">SUM(IF($CQ$6:$CQ$1340=CU9,(($CO$6:$CO$1340)),0))/$CT$12</f>
        <v>0</v>
      </c>
      <c r="CW9" s="9" t="e" cm="1">
        <f t="array" ref="CW9">SUM(IF($CQ$6:$CQ$1340=CU9,($CL$6:$CL$1340),0))/SUM(IF($CQ$6:$CQ$1340=CU9,1,0))</f>
        <v>#DIV/0!</v>
      </c>
      <c r="CX9" s="9" t="e" cm="1">
        <f t="array" ref="CX9">SUM(IF($CQ$6:$CQ$1340=CU9,($CN$6:$CN$1340),0))/SUM(IF($CQ$6:$CQ$1340=CU9,1,0))</f>
        <v>#DIV/0!</v>
      </c>
      <c r="CZ9" s="22">
        <v>46066</v>
      </c>
      <c r="DA9" t="str">
        <v>Ludwig basketball tourney</v>
      </c>
      <c r="DB9">
        <v>7</v>
      </c>
      <c r="DC9" s="5">
        <v>3671</v>
      </c>
      <c r="DD9" s="5">
        <v>5775</v>
      </c>
      <c r="DE9" s="5">
        <v>351</v>
      </c>
      <c r="DF9" s="3">
        <v>13.3</v>
      </c>
      <c r="DG9" s="6">
        <v>0.51875000000000004</v>
      </c>
      <c r="DH9" s="8" t="str">
        <v>Great times</v>
      </c>
      <c r="DJ9" t="s">
        <v>124</v>
      </c>
      <c r="DK9" s="18">
        <f>AVERAGE(DD6:DD1048576)</f>
        <v>7627.0714285714284</v>
      </c>
      <c r="DL9" t="s">
        <v>117</v>
      </c>
      <c r="DM9" s="35" cm="1">
        <f t="array" ref="DM9">SUM(IF($DH$6:$DH$1340=DL9,(($DF$6:$DF$1340)),0))/$DK$12</f>
        <v>0.26274165202108962</v>
      </c>
      <c r="DN9" s="9" cm="1">
        <f t="array" ref="DN9">SUM(IF($DH$6:$DH$1340=DL9,($DC$6:$DC$1340),0))/SUM(IF($DH$6:$DH$1340=DL9,1,0))</f>
        <v>5450</v>
      </c>
      <c r="DO9" s="9" cm="1">
        <f t="array" ref="DO9">SUM(IF($DH$6:$DH$1340=DL9,($DE$6:$DE$1340),0))/SUM(IF($DH$6:$DH$1340=DL9,1,0))</f>
        <v>569</v>
      </c>
      <c r="DQ9" s="22">
        <v>46107</v>
      </c>
      <c r="DR9" t="str">
        <v>WE IN MIAMI, TURNING UP…</v>
      </c>
      <c r="DS9">
        <v>8</v>
      </c>
      <c r="DT9" s="5">
        <v>4098</v>
      </c>
      <c r="DU9" s="5">
        <v>8544</v>
      </c>
      <c r="DV9" s="5">
        <v>231</v>
      </c>
      <c r="DW9" s="3">
        <v>7.2</v>
      </c>
      <c r="DX9" s="6">
        <v>0.64097222222222228</v>
      </c>
      <c r="DY9" s="8" t="str">
        <v>Prime hours</v>
      </c>
      <c r="EA9" t="s">
        <v>124</v>
      </c>
      <c r="EB9" s="18">
        <f>AVERAGE(DU6:DU1048576)</f>
        <v>7121</v>
      </c>
      <c r="EC9" t="s">
        <v>117</v>
      </c>
      <c r="ED9" s="35" cm="1">
        <f t="array" ref="ED9">SUM(IF($DY$6:$DY$1340=EC9,(($DW$6:$DW$1340)),0))/$EB$12</f>
        <v>0</v>
      </c>
      <c r="EE9" s="9" t="e" cm="1">
        <f t="array" ref="EE9">SUM(IF($DY$6:$DY$1340=EC9,($DT$6:$DT$1340),0))/SUM(IF($DY$6:$DY$1340=EC9,1,0))</f>
        <v>#DIV/0!</v>
      </c>
      <c r="EF9" s="9" t="e" cm="1">
        <f t="array" ref="EF9">SUM(IF($DY$6:$DY$1340=EC9,($DV$6:$DV$1340),0))/SUM(IF($DY$6:$DY$1340=EC9,1,0))</f>
        <v>#DIV/0!</v>
      </c>
    </row>
    <row r="10" spans="1:136" x14ac:dyDescent="0.2">
      <c r="B10" s="22">
        <v>45997</v>
      </c>
      <c r="C10" t="str">
        <v>Streamer awards aftermath</v>
      </c>
      <c r="D10">
        <v>1</v>
      </c>
      <c r="E10" s="15">
        <v>9774</v>
      </c>
      <c r="F10" s="15">
        <v>15325</v>
      </c>
      <c r="G10" s="15">
        <v>802</v>
      </c>
      <c r="H10" s="16">
        <v>3.7</v>
      </c>
      <c r="I10" s="6">
        <v>0.95833333333333337</v>
      </c>
      <c r="J10" s="17" t="str">
        <v>GG EST mfs</v>
      </c>
      <c r="K10" s="23">
        <f t="shared" si="0"/>
        <v>9774</v>
      </c>
      <c r="L10" t="s">
        <v>122</v>
      </c>
      <c r="M10">
        <f>COUNT(D6:D1048576)</f>
        <v>16</v>
      </c>
      <c r="N10" t="s">
        <v>121</v>
      </c>
      <c r="O10" s="35" cm="1">
        <f t="array" ref="O10">SUM(IF($J$6:$J$1340=N10,(($H$6:$H$1340)),0))/$M$12</f>
        <v>0.46784565916398707</v>
      </c>
      <c r="P10" s="9" cm="1">
        <f t="array" ref="P10">SUM(IF($J$6:$J$1340=N10,($E$6:$E$1340),0))/SUM(IF($J$6:$J$1340=N10,1,0))</f>
        <v>3978.2857142857142</v>
      </c>
      <c r="Q10" s="9" cm="1">
        <f t="array" ref="Q10">SUM(IF($J$6:$J$1340=N10,($G$6:$G$1340),0))/SUM(IF($J$6:$J$1340=N10,1,0))</f>
        <v>299.42857142857144</v>
      </c>
      <c r="S10" s="22">
        <v>45990</v>
      </c>
      <c r="T10" t="str">
        <v>USC Tailgate</v>
      </c>
      <c r="U10">
        <v>2</v>
      </c>
      <c r="V10" s="5">
        <v>3876</v>
      </c>
      <c r="W10" s="5">
        <v>5282</v>
      </c>
      <c r="X10" s="5">
        <v>513</v>
      </c>
      <c r="Y10" s="3">
        <v>13.2</v>
      </c>
      <c r="Z10" s="6">
        <v>0.59305555555555556</v>
      </c>
      <c r="AA10" s="8" t="str">
        <v>Prime hours</v>
      </c>
      <c r="AC10" t="s">
        <v>122</v>
      </c>
      <c r="AD10">
        <f>COUNT(U6:U1048576)</f>
        <v>34</v>
      </c>
      <c r="AE10" t="s">
        <v>121</v>
      </c>
      <c r="AF10" s="35" cm="1">
        <f t="array" ref="AF10">SUM(IF($AA$6:$AA$1340=AE10,(($Y$6:$Y$1340)),0))/$AD$12</f>
        <v>0.15564087418783226</v>
      </c>
      <c r="AG10" s="9" cm="1">
        <f t="array" ref="AG10">SUM(IF($AA$6:$AA$1340=AE10,($V$6:$V$1340),0))/SUM(IF($AA$6:$AA$1340=AE10,1,0))</f>
        <v>4906.333333333333</v>
      </c>
      <c r="AH10" s="9" cm="1">
        <f t="array" ref="AH10">SUM(IF($AA$6:$AA$1340=AE10,($X$6:$X$1340),0))/SUM(IF($AA$6:$AA$1340=AE10,1,0))</f>
        <v>486.33333333333331</v>
      </c>
      <c r="AJ10" s="22">
        <v>46002</v>
      </c>
      <c r="AK10" t="str">
        <v>OSCS Lake Tahoe snowboarding</v>
      </c>
      <c r="AL10">
        <v>3</v>
      </c>
      <c r="AM10" s="5">
        <v>3557</v>
      </c>
      <c r="AN10" s="5">
        <v>4763</v>
      </c>
      <c r="AO10" s="5">
        <v>480</v>
      </c>
      <c r="AP10" s="3">
        <v>11.8</v>
      </c>
      <c r="AQ10" s="6">
        <v>0.62847222222222221</v>
      </c>
      <c r="AR10" s="8" t="str">
        <v>Prime hours</v>
      </c>
      <c r="AT10" t="s">
        <v>122</v>
      </c>
      <c r="AU10">
        <f>COUNT(AL6:AL1048576)</f>
        <v>14</v>
      </c>
      <c r="AV10" t="s">
        <v>121</v>
      </c>
      <c r="AW10" s="35" cm="1">
        <f t="array" ref="AW10">SUM(IF($AR$6:$AR$1340=AV10,(($AP$6:$AP$1340)),0))/$AU$12</f>
        <v>0.14178482068390325</v>
      </c>
      <c r="AX10" s="9" cm="1">
        <f t="array" ref="AX10">SUM(IF($AR$6:$AR$1340=AV10,($AM$6:$AM$1340),0))/SUM(IF($AR$6:$AR$1340=AV10,1,0))</f>
        <v>4402</v>
      </c>
      <c r="AY10" s="9" cm="1">
        <f t="array" ref="AY10">SUM(IF($AR$6:$AR$1340=AV10,($AO$6:$AO$1340),0))/SUM(IF($AR$6:$AR$1340=AV10,1,0))</f>
        <v>273.66666666666669</v>
      </c>
      <c r="BA10" s="22">
        <v>46047</v>
      </c>
      <c r="BB10" t="str">
        <v>Motorcyle test + morebarky</v>
      </c>
      <c r="BC10">
        <v>4</v>
      </c>
      <c r="BD10" s="5">
        <v>10685</v>
      </c>
      <c r="BE10" s="5">
        <v>14418</v>
      </c>
      <c r="BF10" s="5">
        <v>1280</v>
      </c>
      <c r="BG10" s="3">
        <v>11.4</v>
      </c>
      <c r="BH10" s="6">
        <v>0.44513888888888886</v>
      </c>
      <c r="BI10" s="8" t="str">
        <v>Early asf</v>
      </c>
      <c r="BK10" t="s">
        <v>122</v>
      </c>
      <c r="BL10">
        <f>COUNT(BC6:BC1048576)</f>
        <v>13</v>
      </c>
      <c r="BM10" t="s">
        <v>121</v>
      </c>
      <c r="BN10" s="35" cm="1">
        <f t="array" ref="BN10">SUM(IF($BI$6:$BI$1340=BM10,(($BG$6:$BG$1340)),0))/$BL$12</f>
        <v>0.48843416370106757</v>
      </c>
      <c r="BO10" s="9" cm="1">
        <f t="array" ref="BO10">SUM(IF($BI$6:$BI$1340=BM10,($BD$6:$BD$1340),0))/SUM(IF($BI$6:$BI$1340=BM10,1,0))</f>
        <v>8204.7999999999993</v>
      </c>
      <c r="BP10" s="9" cm="1">
        <f t="array" ref="BP10">SUM(IF($BI$6:$BI$1340=BM10,($BF$6:$BF$1340),0))/SUM(IF($BI$6:$BI$1340=BM10,1,0))</f>
        <v>1204.2</v>
      </c>
      <c r="BR10" s="22">
        <v>45984</v>
      </c>
      <c r="BS10" t="str">
        <v>China mukbang</v>
      </c>
      <c r="BT10">
        <v>5</v>
      </c>
      <c r="BU10" s="5">
        <v>3146</v>
      </c>
      <c r="BV10" s="5">
        <v>4094</v>
      </c>
      <c r="BW10" s="5">
        <v>371</v>
      </c>
      <c r="BX10" s="3">
        <v>7.9</v>
      </c>
      <c r="BY10" s="6">
        <v>0.78541666666666665</v>
      </c>
      <c r="BZ10" s="8" t="str">
        <v>Good times</v>
      </c>
      <c r="CB10" t="s">
        <v>122</v>
      </c>
      <c r="CC10">
        <f>COUNT(BT6:BT1048576)</f>
        <v>27</v>
      </c>
      <c r="CD10" t="s">
        <v>121</v>
      </c>
      <c r="CE10" s="35" cm="1">
        <f t="array" ref="CE10">SUM(IF($BZ$6:$BZ$1340=CD10,(($BX$6:$BX$1340)),0))/$CC$12</f>
        <v>0.36384439359267745</v>
      </c>
      <c r="CF10" s="9" cm="1">
        <f t="array" ref="CF10">SUM(IF($BZ$6:$BZ$1340=CD10,($BU$6:$BU$1340),0))/SUM(IF($BZ$6:$BZ$1340=CD10,1,0))</f>
        <v>5550.636363636364</v>
      </c>
      <c r="CG10" s="9" cm="1">
        <f t="array" ref="CG10">SUM(IF($BZ$6:$BZ$1340=CD10,($BW$6:$BW$1340),0))/SUM(IF($BZ$6:$BZ$1340=CD10,1,0))</f>
        <v>473.63636363636363</v>
      </c>
      <c r="CI10" s="22">
        <v>46102</v>
      </c>
      <c r="CJ10" t="str">
        <v>YDF last dance</v>
      </c>
      <c r="CK10">
        <v>6</v>
      </c>
      <c r="CL10" s="5">
        <v>7742</v>
      </c>
      <c r="CM10" s="5">
        <v>11278</v>
      </c>
      <c r="CN10" s="5">
        <v>448</v>
      </c>
      <c r="CO10" s="3">
        <v>8.6</v>
      </c>
      <c r="CP10" s="6">
        <v>0.84027777777777779</v>
      </c>
      <c r="CQ10" s="8" t="str">
        <v>Late-night</v>
      </c>
      <c r="CS10" t="s">
        <v>122</v>
      </c>
      <c r="CT10">
        <f>COUNT(CK6:CK1048576)</f>
        <v>5</v>
      </c>
      <c r="CU10" t="s">
        <v>121</v>
      </c>
      <c r="CV10" s="35" cm="1">
        <f t="array" ref="CV10">SUM(IF($CQ$6:$CQ$1340=CU10,(($CO$6:$CO$1340)),0))/$CT$12</f>
        <v>0.34505494505494505</v>
      </c>
      <c r="CW10" s="9" cm="1">
        <f t="array" ref="CW10">SUM(IF($CQ$6:$CQ$1340=CU10,($CL$6:$CL$1340),0))/SUM(IF($CQ$6:$CQ$1340=CU10,1,0))</f>
        <v>5601</v>
      </c>
      <c r="CX10" s="9" cm="1">
        <f t="array" ref="CX10">SUM(IF($CQ$6:$CQ$1340=CU10,($CN$6:$CN$1340),0))/SUM(IF($CQ$6:$CQ$1340=CU10,1,0))</f>
        <v>641.5</v>
      </c>
      <c r="CZ10" s="22">
        <v>46068</v>
      </c>
      <c r="DA10" t="str">
        <v>Jynxzi RL tourney</v>
      </c>
      <c r="DB10">
        <v>7</v>
      </c>
      <c r="DC10" s="5">
        <v>4781</v>
      </c>
      <c r="DD10" s="5">
        <v>6290</v>
      </c>
      <c r="DE10" s="5">
        <v>683</v>
      </c>
      <c r="DF10" s="3">
        <v>8.5</v>
      </c>
      <c r="DG10" s="6">
        <v>0.62916666666666665</v>
      </c>
      <c r="DH10" s="8" t="str">
        <v>Prime hours</v>
      </c>
      <c r="DJ10" t="s">
        <v>122</v>
      </c>
      <c r="DK10">
        <f>COUNT(DB6:DB1048576)</f>
        <v>14</v>
      </c>
      <c r="DL10" t="s">
        <v>121</v>
      </c>
      <c r="DM10" s="35" cm="1">
        <f t="array" ref="DM10">SUM(IF($DH$6:$DH$1340=DL10,(($DF$6:$DF$1340)),0))/$DK$12</f>
        <v>0.34885764499121263</v>
      </c>
      <c r="DN10" s="9" cm="1">
        <f t="array" ref="DN10">SUM(IF($DH$6:$DH$1340=DL10,($DC$6:$DC$1340),0))/SUM(IF($DH$6:$DH$1340=DL10,1,0))</f>
        <v>5296.4</v>
      </c>
      <c r="DO10" s="9" cm="1">
        <f t="array" ref="DO10">SUM(IF($DH$6:$DH$1340=DL10,($DE$6:$DE$1340),0))/SUM(IF($DH$6:$DH$1340=DL10,1,0))</f>
        <v>320</v>
      </c>
      <c r="DQ10" s="22">
        <v>46109</v>
      </c>
      <c r="DR10" t="str">
        <v>OSCS Cruise</v>
      </c>
      <c r="DS10">
        <v>8</v>
      </c>
      <c r="DT10" s="5">
        <v>3887</v>
      </c>
      <c r="DU10" s="5">
        <v>6150</v>
      </c>
      <c r="DV10" s="5">
        <v>236</v>
      </c>
      <c r="DW10" s="3">
        <v>9.3000000000000007</v>
      </c>
      <c r="DX10" s="6">
        <v>0.60138888888888886</v>
      </c>
      <c r="DY10" s="8" t="str">
        <v>Prime hours</v>
      </c>
      <c r="EA10" t="s">
        <v>122</v>
      </c>
      <c r="EB10">
        <f>COUNT(DS6:DS1048576)</f>
        <v>5</v>
      </c>
      <c r="EC10" t="s">
        <v>121</v>
      </c>
      <c r="ED10" s="35" cm="1">
        <f t="array" ref="ED10">SUM(IF($DY$6:$DY$1340=EC10,(($DW$6:$DW$1340)),0))/$EB$12</f>
        <v>0</v>
      </c>
      <c r="EE10" s="9" t="e" cm="1">
        <f t="array" ref="EE10">SUM(IF($DY$6:$DY$1340=EC10,($DT$6:$DT$1340),0))/SUM(IF($DY$6:$DY$1340=EC10,1,0))</f>
        <v>#DIV/0!</v>
      </c>
      <c r="EF10" s="9" t="e" cm="1">
        <f t="array" ref="EF10">SUM(IF($DY$6:$DY$1340=EC10,($DV$6:$DV$1340),0))/SUM(IF($DY$6:$DY$1340=EC10,1,0))</f>
        <v>#DIV/0!</v>
      </c>
    </row>
    <row r="11" spans="1:136" x14ac:dyDescent="0.2">
      <c r="B11" s="22">
        <v>46009</v>
      </c>
      <c r="C11" t="str">
        <v>Dr Tara + desktop</v>
      </c>
      <c r="D11">
        <v>1</v>
      </c>
      <c r="E11" s="15">
        <v>5665</v>
      </c>
      <c r="F11" s="15">
        <v>10676</v>
      </c>
      <c r="G11" s="15">
        <v>244</v>
      </c>
      <c r="H11" s="4">
        <v>5.7</v>
      </c>
      <c r="I11" s="7">
        <v>0.78541666666666665</v>
      </c>
      <c r="J11" s="17" t="str">
        <v>Good times</v>
      </c>
      <c r="K11" s="23">
        <f t="shared" si="0"/>
        <v>5665</v>
      </c>
      <c r="L11" t="s">
        <v>123</v>
      </c>
      <c r="M11" s="18">
        <f>COUNT(D6:D17)</f>
        <v>12</v>
      </c>
      <c r="N11" t="s">
        <v>119</v>
      </c>
      <c r="O11" s="35" cm="1">
        <f t="array" ref="O11">SUM(IF($J$6:$J$1340=N11,(($H$6:$H$1340)),0))/$M$12</f>
        <v>8.118971061093247E-2</v>
      </c>
      <c r="P11" s="9" cm="1">
        <f t="array" ref="P11">SUM(IF($J$6:$J$1340=N11,($E$6:$E$1340),0))/SUM(IF($J$6:$J$1340=N11,1,0))</f>
        <v>3496</v>
      </c>
      <c r="Q11" s="9" cm="1">
        <f t="array" ref="Q11">SUM(IF($J$6:$J$1340=N11,($G$6:$G$1340),0))/SUM(IF($J$6:$J$1340=N11,1,0))</f>
        <v>521</v>
      </c>
      <c r="S11" s="22">
        <v>45993</v>
      </c>
      <c r="T11" t="str">
        <v>Lost in OC</v>
      </c>
      <c r="U11">
        <v>2</v>
      </c>
      <c r="V11" s="5">
        <v>3541</v>
      </c>
      <c r="W11" s="5">
        <v>4288</v>
      </c>
      <c r="X11" s="5">
        <v>320</v>
      </c>
      <c r="Y11" s="3">
        <v>5.9</v>
      </c>
      <c r="Z11" s="6">
        <v>0.65902777777777777</v>
      </c>
      <c r="AA11" s="8" t="str">
        <v>Prime hours</v>
      </c>
      <c r="AC11" t="s">
        <v>123</v>
      </c>
      <c r="AD11" s="18">
        <f>SUM(X6:X1048576)</f>
        <v>21495</v>
      </c>
      <c r="AE11" t="s">
        <v>119</v>
      </c>
      <c r="AF11" s="35" cm="1">
        <f t="array" ref="AF11">SUM(IF($AA$6:$AA$1340=AE11,(($Y$6:$Y$1340)),0))/$AD$12</f>
        <v>3.7802717070289434E-2</v>
      </c>
      <c r="AG11" s="9" cm="1">
        <f t="array" ref="AG11">SUM(IF($AA$6:$AA$1340=AE11,($V$6:$V$1340),0))/SUM(IF($AA$6:$AA$1340=AE11,1,0))</f>
        <v>5374</v>
      </c>
      <c r="AH11" s="9" cm="1">
        <f t="array" ref="AH11">SUM(IF($AA$6:$AA$1340=AE11,($X$6:$X$1340),0))/SUM(IF($AA$6:$AA$1340=AE11,1,0))</f>
        <v>432.5</v>
      </c>
      <c r="AJ11" s="22">
        <v>46004</v>
      </c>
      <c r="AK11" t="str">
        <v>6 flags + bunii concert</v>
      </c>
      <c r="AL11">
        <v>3</v>
      </c>
      <c r="AM11" s="5">
        <v>4752</v>
      </c>
      <c r="AN11" s="5">
        <v>6973</v>
      </c>
      <c r="AO11" s="5">
        <v>540</v>
      </c>
      <c r="AP11" s="3">
        <v>10.8</v>
      </c>
      <c r="AQ11" s="6">
        <v>0.59375</v>
      </c>
      <c r="AR11" s="8" t="str">
        <v>Prime hours</v>
      </c>
      <c r="AT11" t="s">
        <v>123</v>
      </c>
      <c r="AU11" s="18">
        <f>SUM(AO6:AO1048576)</f>
        <v>5988</v>
      </c>
      <c r="AV11" t="s">
        <v>119</v>
      </c>
      <c r="AW11" s="35" cm="1">
        <f t="array" ref="AW11">SUM(IF($AR$6:$AR$1340=AV11,(($AP$6:$AP$1340)),0))/$AU$12</f>
        <v>0.18181818181818182</v>
      </c>
      <c r="AX11" s="9" cm="1">
        <f t="array" ref="AX11">SUM(IF($AR$6:$AR$1340=AV11,($AM$6:$AM$1340),0))/SUM(IF($AR$6:$AR$1340=AV11,1,0))</f>
        <v>6898.333333333333</v>
      </c>
      <c r="AY11" s="9" cm="1">
        <f t="array" ref="AY11">SUM(IF($AR$6:$AR$1340=AV11,($AO$6:$AO$1340),0))/SUM(IF($AR$6:$AR$1340=AV11,1,0))</f>
        <v>659.33333333333337</v>
      </c>
      <c r="BA11" s="22">
        <v>46057</v>
      </c>
      <c r="BB11" t="str">
        <v>Island survival w Bonnie</v>
      </c>
      <c r="BC11">
        <v>4</v>
      </c>
      <c r="BD11" s="5">
        <v>10511</v>
      </c>
      <c r="BE11" s="5">
        <v>18238</v>
      </c>
      <c r="BF11" s="5">
        <v>3831</v>
      </c>
      <c r="BG11" s="3">
        <v>21.9</v>
      </c>
      <c r="BH11" s="6">
        <v>0.76875000000000004</v>
      </c>
      <c r="BI11" s="8" t="str">
        <v>Good times</v>
      </c>
      <c r="BK11" t="s">
        <v>123</v>
      </c>
      <c r="BL11" s="18">
        <f>SUM(BF6:BF1048576)</f>
        <v>11856</v>
      </c>
      <c r="BM11" t="s">
        <v>119</v>
      </c>
      <c r="BN11" s="35" cm="1">
        <f t="array" ref="BN11">SUM(IF($BI$6:$BI$1340=BM11,(($BG$6:$BG$1340)),0))/$BL$12</f>
        <v>0.13167259786476868</v>
      </c>
      <c r="BO11" s="9" cm="1">
        <f t="array" ref="BO11">SUM(IF($BI$6:$BI$1340=BM11,($BD$6:$BD$1340),0))/SUM(IF($BI$6:$BI$1340=BM11,1,0))</f>
        <v>7726</v>
      </c>
      <c r="BP11" s="9" cm="1">
        <f t="array" ref="BP11">SUM(IF($BI$6:$BI$1340=BM11,($BF$6:$BF$1340),0))/SUM(IF($BI$6:$BI$1340=BM11,1,0))</f>
        <v>604</v>
      </c>
      <c r="BR11" s="22">
        <v>45988</v>
      </c>
      <c r="BS11" t="str">
        <v>OSCS Thanksgiving</v>
      </c>
      <c r="BT11">
        <v>5</v>
      </c>
      <c r="BU11" s="5">
        <v>9347</v>
      </c>
      <c r="BV11" s="5">
        <v>13034</v>
      </c>
      <c r="BW11" s="5">
        <v>592</v>
      </c>
      <c r="BX11" s="3">
        <v>5.3</v>
      </c>
      <c r="BY11" s="6">
        <v>0.7631944444444444</v>
      </c>
      <c r="BZ11" s="8" t="str">
        <v>Good times</v>
      </c>
      <c r="CB11" t="s">
        <v>123</v>
      </c>
      <c r="CC11" s="18">
        <f>SUM(BW6:BW1048576)</f>
        <v>12902</v>
      </c>
      <c r="CD11" t="s">
        <v>119</v>
      </c>
      <c r="CE11" s="35" cm="1">
        <f t="array" ref="CE11">SUM(IF($BZ$6:$BZ$1340=CD11,(($BX$6:$BX$1340)),0))/$CC$12</f>
        <v>3.8520213577421816E-2</v>
      </c>
      <c r="CF11" s="9" cm="1">
        <f t="array" ref="CF11">SUM(IF($BZ$6:$BZ$1340=CD11,($BU$6:$BU$1340),0))/SUM(IF($BZ$6:$BZ$1340=CD11,1,0))</f>
        <v>6045</v>
      </c>
      <c r="CG11" s="9" cm="1">
        <f t="array" ref="CG11">SUM(IF($BZ$6:$BZ$1340=CD11,($BW$6:$BW$1340),0))/SUM(IF($BZ$6:$BZ$1340=CD11,1,0))</f>
        <v>295</v>
      </c>
      <c r="CS11" t="s">
        <v>123</v>
      </c>
      <c r="CT11" s="18">
        <f>SUM(CN6:CN1048576)</f>
        <v>3406</v>
      </c>
      <c r="CU11" t="s">
        <v>119</v>
      </c>
      <c r="CV11" s="35" cm="1">
        <f t="array" ref="CV11">SUM(IF($CQ$6:$CQ$1340=CU11,(($CO$6:$CO$1340)),0))/$CT$12</f>
        <v>0.18901098901098898</v>
      </c>
      <c r="CW11" s="9" cm="1">
        <f t="array" ref="CW11">SUM(IF($CQ$6:$CQ$1340=CU11,($CL$6:$CL$1340),0))/SUM(IF($CQ$6:$CQ$1340=CU11,1,0))</f>
        <v>7742</v>
      </c>
      <c r="CX11" s="9" cm="1">
        <f t="array" ref="CX11">SUM(IF($CQ$6:$CQ$1340=CU11,($CN$6:$CN$1340),0))/SUM(IF($CQ$6:$CQ$1340=CU11,1,0))</f>
        <v>448</v>
      </c>
      <c r="CZ11" s="22">
        <v>46074</v>
      </c>
      <c r="DA11" t="str">
        <v>Yugi's event</v>
      </c>
      <c r="DB11">
        <v>7</v>
      </c>
      <c r="DC11" s="5">
        <v>5182</v>
      </c>
      <c r="DD11" s="5">
        <v>6256</v>
      </c>
      <c r="DE11" s="5">
        <v>374</v>
      </c>
      <c r="DF11" s="3">
        <v>9.9</v>
      </c>
      <c r="DG11" s="6">
        <v>0.76597222222222228</v>
      </c>
      <c r="DH11" s="8" t="str">
        <v>Good times</v>
      </c>
      <c r="DJ11" t="s">
        <v>123</v>
      </c>
      <c r="DK11" s="18">
        <f>SUM(DE6:DE1048576)</f>
        <v>5844</v>
      </c>
      <c r="DL11" t="s">
        <v>119</v>
      </c>
      <c r="DM11" s="35" cm="1">
        <f t="array" ref="DM11">SUM(IF($DH$6:$DH$1340=DL11,(($DF$6:$DF$1340)),0))/$DK$12</f>
        <v>0</v>
      </c>
      <c r="DN11" s="9" t="e" cm="1">
        <f t="array" ref="DN11">SUM(IF($DH$6:$DH$1340=DL11,($DC$6:$DC$1340),0))/SUM(IF($DH$6:$DH$1340=DL11,1,0))</f>
        <v>#DIV/0!</v>
      </c>
      <c r="DO11" s="9" t="e" cm="1">
        <f t="array" ref="DO11">SUM(IF($DH$6:$DH$1340=DL11,($DE$6:$DE$1340),0))/SUM(IF($DH$6:$DH$1340=DL11,1,0))</f>
        <v>#DIV/0!</v>
      </c>
      <c r="EA11" t="s">
        <v>123</v>
      </c>
      <c r="EB11" s="18">
        <f>SUM(DV6:DV1048576)</f>
        <v>2384</v>
      </c>
      <c r="EC11" t="s">
        <v>119</v>
      </c>
      <c r="ED11" s="35" cm="1">
        <f t="array" ref="ED11">SUM(IF($DY$6:$DY$1340=EC11,(($DW$6:$DW$1340)),0))/$EB$12</f>
        <v>0.3487031700288184</v>
      </c>
      <c r="EE11" s="9" cm="1">
        <f t="array" ref="EE11">SUM(IF($DY$6:$DY$1340=EC11,($DT$6:$DT$1340),0))/SUM(IF($DY$6:$DY$1340=EC11,1,0))</f>
        <v>5245.5</v>
      </c>
      <c r="EF11" s="9" cm="1">
        <f t="array" ref="EF11">SUM(IF($DY$6:$DY$1340=EC11,($DV$6:$DV$1340),0))/SUM(IF($DY$6:$DY$1340=EC11,1,0))</f>
        <v>644.5</v>
      </c>
    </row>
    <row r="12" spans="1:136" x14ac:dyDescent="0.2">
      <c r="B12" s="22">
        <v>46017</v>
      </c>
      <c r="C12" t="str">
        <v>Desktop debrief</v>
      </c>
      <c r="D12">
        <v>1</v>
      </c>
      <c r="E12" s="15">
        <v>10220</v>
      </c>
      <c r="F12" s="15">
        <v>19088</v>
      </c>
      <c r="G12" s="15">
        <v>1451</v>
      </c>
      <c r="H12" s="16">
        <v>10.1</v>
      </c>
      <c r="I12" s="6">
        <v>0.66388888888888886</v>
      </c>
      <c r="J12" s="17" t="str">
        <v>Prime hours</v>
      </c>
      <c r="K12" s="23">
        <f t="shared" si="0"/>
        <v>10220</v>
      </c>
      <c r="L12" t="s">
        <v>125</v>
      </c>
      <c r="M12" s="4">
        <f>SUM(H6:H1048576)</f>
        <v>124.4</v>
      </c>
      <c r="N12" t="s">
        <v>116</v>
      </c>
      <c r="O12" s="35" cm="1">
        <f t="array" ref="O12">SUM(IF($J$6:$J$1340=N12,(($H$6:$H$1340)),0))/$M$12</f>
        <v>0</v>
      </c>
      <c r="P12" s="9" t="e" cm="1">
        <f t="array" ref="P12">SUM(IF($J$6:$J$1340=N12,($E$6:$E$1340),0))/SUM(IF($J$6:$J$1340=N12,1,0))</f>
        <v>#DIV/0!</v>
      </c>
      <c r="Q12" s="9" t="e" cm="1">
        <f t="array" ref="Q12">SUM(IF($J$6:$J$1340=N12,($G$6:$G$1340),0))/SUM(IF($J$6:$J$1340=N12,1,0))</f>
        <v>#DIV/0!</v>
      </c>
      <c r="S12" s="22">
        <v>45998</v>
      </c>
      <c r="T12" t="str">
        <v>ZAMFAM Christmas</v>
      </c>
      <c r="U12">
        <v>2</v>
      </c>
      <c r="V12" s="5">
        <v>6260</v>
      </c>
      <c r="W12" s="5">
        <v>14074</v>
      </c>
      <c r="X12" s="5">
        <v>923</v>
      </c>
      <c r="Y12" s="3">
        <v>8.3000000000000007</v>
      </c>
      <c r="Z12" s="6">
        <v>0.8041666666666667</v>
      </c>
      <c r="AA12" s="8" t="str">
        <v>Good times</v>
      </c>
      <c r="AC12" t="s">
        <v>125</v>
      </c>
      <c r="AD12" s="4">
        <f>SUM(Y6:Y1048576)</f>
        <v>338.59999999999997</v>
      </c>
      <c r="AE12" t="s">
        <v>116</v>
      </c>
      <c r="AF12" s="35" cm="1">
        <f t="array" ref="AF12">SUM(IF($AA$6:$AA$1340=AE12,(($Y$6:$Y$1340)),0))/$AD$12</f>
        <v>0</v>
      </c>
      <c r="AG12" s="9" t="e" cm="1">
        <f t="array" ref="AG12">SUM(IF($AA$6:$AA$1340=AE12,($V$6:$V$1340),0))/SUM(IF($AA$6:$AA$1340=AE12,1,0))</f>
        <v>#DIV/0!</v>
      </c>
      <c r="AH12" s="9" t="e" cm="1">
        <f t="array" ref="AH12">SUM(IF($AA$6:$AA$1340=AE12,($X$6:$X$1340),0))/SUM(IF($AA$6:$AA$1340=AE12,1,0))</f>
        <v>#DIV/0!</v>
      </c>
      <c r="AJ12" s="22">
        <v>46030</v>
      </c>
      <c r="AK12" t="str">
        <v>"Climbing mt baldy"</v>
      </c>
      <c r="AL12">
        <v>3</v>
      </c>
      <c r="AM12" s="5">
        <v>2565</v>
      </c>
      <c r="AN12" s="5">
        <v>2777</v>
      </c>
      <c r="AO12" s="5">
        <v>100</v>
      </c>
      <c r="AP12" s="3">
        <v>2</v>
      </c>
      <c r="AQ12" s="6">
        <v>0.59166666666666667</v>
      </c>
      <c r="AR12" s="8" t="str">
        <v>Prime hours</v>
      </c>
      <c r="AT12" t="s">
        <v>125</v>
      </c>
      <c r="AU12" s="4">
        <f>SUM(AP6:AP1048576)</f>
        <v>119.9</v>
      </c>
      <c r="AV12" t="s">
        <v>116</v>
      </c>
      <c r="AW12" s="35" cm="1">
        <f t="array" ref="AW12">SUM(IF($AR$6:$AR$1340=AV12,(($AP$6:$AP$1340)),0))/$AU$12</f>
        <v>0</v>
      </c>
      <c r="AX12" s="9" t="e" cm="1">
        <f t="array" ref="AX12">SUM(IF($AR$6:$AR$1340=AV12,($AM$6:$AM$1340),0))/SUM(IF($AR$6:$AR$1340=AV12,1,0))</f>
        <v>#DIV/0!</v>
      </c>
      <c r="AY12" s="9" t="e" cm="1">
        <f t="array" ref="AY12">SUM(IF($AR$6:$AR$1340=AV12,($AO$6:$AO$1340),0))/SUM(IF($AR$6:$AR$1340=AV12,1,0))</f>
        <v>#DIV/0!</v>
      </c>
      <c r="BA12" s="22">
        <v>46059</v>
      </c>
      <c r="BB12" t="str">
        <v>Thailand day 1 w kiko</v>
      </c>
      <c r="BC12">
        <v>4</v>
      </c>
      <c r="BD12" s="5">
        <v>6815</v>
      </c>
      <c r="BE12" s="5">
        <v>8260</v>
      </c>
      <c r="BF12" s="5">
        <v>638</v>
      </c>
      <c r="BG12" s="3">
        <v>8.9</v>
      </c>
      <c r="BH12" s="6">
        <v>0.88194444444444442</v>
      </c>
      <c r="BI12" s="8" t="str">
        <v>Late-night</v>
      </c>
      <c r="BK12" t="s">
        <v>125</v>
      </c>
      <c r="BL12" s="4">
        <f>SUM(BG6:BG1048576)</f>
        <v>112.4</v>
      </c>
      <c r="BM12" t="s">
        <v>116</v>
      </c>
      <c r="BN12" s="35" cm="1">
        <f t="array" ref="BN12">SUM(IF($BI$6:$BI$1340=BM12,(($BG$6:$BG$1340)),0))/$BL$12</f>
        <v>0.10142348754448398</v>
      </c>
      <c r="BO12" s="9" cm="1">
        <f t="array" ref="BO12">SUM(IF($BI$6:$BI$1340=BM12,($BD$6:$BD$1340),0))/SUM(IF($BI$6:$BI$1340=BM12,1,0))</f>
        <v>10685</v>
      </c>
      <c r="BP12" s="9" cm="1">
        <f t="array" ref="BP12">SUM(IF($BI$6:$BI$1340=BM12,($BF$6:$BF$1340),0))/SUM(IF($BI$6:$BI$1340=BM12,1,0))</f>
        <v>1280</v>
      </c>
      <c r="BR12" s="22">
        <v>45996</v>
      </c>
      <c r="BS12" t="str">
        <v>Streamer awards shopping</v>
      </c>
      <c r="BT12">
        <v>5</v>
      </c>
      <c r="BU12" s="5">
        <v>3291</v>
      </c>
      <c r="BV12" s="5">
        <v>3858</v>
      </c>
      <c r="BW12" s="5">
        <v>192</v>
      </c>
      <c r="BX12" s="3">
        <v>6.6</v>
      </c>
      <c r="BY12" s="6">
        <v>0.63680555555555551</v>
      </c>
      <c r="BZ12" s="8" t="str">
        <v>Prime hours</v>
      </c>
      <c r="CB12" t="s">
        <v>125</v>
      </c>
      <c r="CC12" s="4">
        <f>SUM(BX6:BX1048576)</f>
        <v>262.2</v>
      </c>
      <c r="CD12" t="s">
        <v>116</v>
      </c>
      <c r="CE12" s="35" cm="1">
        <f t="array" ref="CE12">SUM(IF($BZ$6:$BZ$1340=CD12,(($BX$6:$BX$1340)),0))/$CC$12</f>
        <v>0</v>
      </c>
      <c r="CF12" s="9" t="e" cm="1">
        <f t="array" ref="CF12">SUM(IF($BZ$6:$BZ$1340=CD12,($BU$6:$BU$1340),0))/SUM(IF($BZ$6:$BZ$1340=CD12,1,0))</f>
        <v>#DIV/0!</v>
      </c>
      <c r="CG12" s="9" t="e" cm="1">
        <f t="array" ref="CG12">SUM(IF($BZ$6:$BZ$1340=CD12,($BW$6:$BW$1340),0))/SUM(IF($BZ$6:$BZ$1340=CD12,1,0))</f>
        <v>#DIV/0!</v>
      </c>
      <c r="CS12" t="s">
        <v>125</v>
      </c>
      <c r="CT12" s="4">
        <f>SUM(CO6:CO1048576)</f>
        <v>45.500000000000007</v>
      </c>
      <c r="CU12" t="s">
        <v>116</v>
      </c>
      <c r="CV12" s="35" cm="1">
        <f t="array" ref="CV12">SUM(IF($CQ$6:$CQ$1340=CU12,(($CO$6:$CO$1340)),0))/$CT$12</f>
        <v>0</v>
      </c>
      <c r="CW12" s="9" t="e" cm="1">
        <f t="array" ref="CW12">SUM(IF($CQ$6:$CQ$1340=CU12,($CL$6:$CL$1340),0))/SUM(IF($CQ$6:$CQ$1340=CU12,1,0))</f>
        <v>#DIV/0!</v>
      </c>
      <c r="CX12" s="9" t="e" cm="1">
        <f t="array" ref="CX12">SUM(IF($CQ$6:$CQ$1340=CU12,($CN$6:$CN$1340),0))/SUM(IF($CQ$6:$CQ$1340=CU12,1,0))</f>
        <v>#DIV/0!</v>
      </c>
      <c r="CZ12" s="22">
        <v>46075</v>
      </c>
      <c r="DA12" t="str">
        <v>Yugi's event</v>
      </c>
      <c r="DB12">
        <v>7</v>
      </c>
      <c r="DC12" s="5">
        <v>3799</v>
      </c>
      <c r="DD12" s="5">
        <v>4757</v>
      </c>
      <c r="DE12" s="5">
        <v>247</v>
      </c>
      <c r="DF12" s="3">
        <v>11.2</v>
      </c>
      <c r="DG12" s="6">
        <v>0.72222222222222221</v>
      </c>
      <c r="DH12" s="8" t="str">
        <v>Good times</v>
      </c>
      <c r="DJ12" t="s">
        <v>125</v>
      </c>
      <c r="DK12" s="4">
        <f>SUM(DF6:DF1048576)</f>
        <v>113.80000000000001</v>
      </c>
      <c r="DL12" t="s">
        <v>116</v>
      </c>
      <c r="DM12" s="35" cm="1">
        <f t="array" ref="DM12">SUM(IF($DH$6:$DH$1340=DL12,(($DF$6:$DF$1340)),0))/$DK$12</f>
        <v>0</v>
      </c>
      <c r="DN12" s="9" t="e" cm="1">
        <f t="array" ref="DN12">SUM(IF($DH$6:$DH$1340=DL12,($DC$6:$DC$1340),0))/SUM(IF($DH$6:$DH$1340=DL12,1,0))</f>
        <v>#DIV/0!</v>
      </c>
      <c r="DO12" s="9" t="e" cm="1">
        <f t="array" ref="DO12">SUM(IF($DH$6:$DH$1340=DL12,($DE$6:$DE$1340),0))/SUM(IF($DH$6:$DH$1340=DL12,1,0))</f>
        <v>#DIV/0!</v>
      </c>
      <c r="EA12" t="s">
        <v>125</v>
      </c>
      <c r="EB12" s="4">
        <f>SUM(DW6:DW1048576)</f>
        <v>34.700000000000003</v>
      </c>
      <c r="EC12" t="s">
        <v>116</v>
      </c>
      <c r="ED12" s="35" cm="1">
        <f t="array" ref="ED12">SUM(IF($DY$6:$DY$1340=EC12,(($DW$6:$DW$1340)),0))/$EB$12</f>
        <v>0</v>
      </c>
      <c r="EE12" s="9" t="e" cm="1">
        <f t="array" ref="EE12">SUM(IF($DY$6:$DY$1340=EC12,($DT$6:$DT$1340),0))/SUM(IF($DY$6:$DY$1340=EC12,1,0))</f>
        <v>#DIV/0!</v>
      </c>
      <c r="EF12" s="9" t="e" cm="1">
        <f t="array" ref="EF12">SUM(IF($DY$6:$DY$1340=EC12,($DV$6:$DV$1340),0))/SUM(IF($DY$6:$DY$1340=EC12,1,0))</f>
        <v>#DIV/0!</v>
      </c>
    </row>
    <row r="13" spans="1:136" x14ac:dyDescent="0.2">
      <c r="B13" s="22">
        <v>46023</v>
      </c>
      <c r="C13" t="str">
        <v>Debriefs</v>
      </c>
      <c r="D13">
        <v>1</v>
      </c>
      <c r="E13" s="15">
        <v>4008</v>
      </c>
      <c r="F13" s="15">
        <v>5374</v>
      </c>
      <c r="G13" s="15">
        <v>227</v>
      </c>
      <c r="H13" s="4">
        <v>5.0999999999999996</v>
      </c>
      <c r="I13" s="7">
        <v>0.9506944444444444</v>
      </c>
      <c r="J13" s="17" t="str">
        <v>GG EST mfs</v>
      </c>
      <c r="K13" s="23">
        <f t="shared" si="0"/>
        <v>4008</v>
      </c>
      <c r="N13" t="s">
        <v>126</v>
      </c>
      <c r="O13" s="35" cm="1">
        <f t="array" ref="O13">SUM(IF($J$6:$J$1340=N13,(($H$6:$H$1340)),0))/$M$12</f>
        <v>0.12218649517684887</v>
      </c>
      <c r="P13" s="9" cm="1">
        <f t="array" ref="P13">SUM(IF($J$6:$J$1340=N13,($E$6:$E$1340),0))/SUM(IF($J$6:$J$1340=N13,1,0))</f>
        <v>6388.666666666667</v>
      </c>
      <c r="Q13" s="9" cm="1">
        <f t="array" ref="Q13">SUM(IF($J$6:$J$1340=N13,($G$6:$G$1340),0))/SUM(IF($J$6:$J$1340=N13,1,0))</f>
        <v>465.33333333333331</v>
      </c>
      <c r="S13" s="22">
        <v>46011</v>
      </c>
      <c r="T13" t="str">
        <v>Quqco austin</v>
      </c>
      <c r="U13">
        <v>2</v>
      </c>
      <c r="V13" s="5">
        <v>4906</v>
      </c>
      <c r="W13" s="5">
        <v>6021</v>
      </c>
      <c r="X13" s="5">
        <v>241</v>
      </c>
      <c r="Y13" s="3">
        <v>5</v>
      </c>
      <c r="Z13" s="6">
        <v>0.78194444444444444</v>
      </c>
      <c r="AA13" s="8" t="str">
        <v>Good times</v>
      </c>
      <c r="AE13" t="s">
        <v>126</v>
      </c>
      <c r="AF13" s="35" cm="1">
        <f t="array" ref="AF13">SUM(IF($AA$6:$AA$1340=AE13,(($Y$6:$Y$1340)),0))/$AD$12</f>
        <v>0</v>
      </c>
      <c r="AG13" s="9" t="e" cm="1">
        <f t="array" ref="AG13">SUM(IF($AA$6:$AA$1340=AE13,($V$6:$V$1340),0))/SUM(IF($AA$6:$AA$1340=AE13,1,0))</f>
        <v>#DIV/0!</v>
      </c>
      <c r="AH13" s="9" t="e" cm="1">
        <f t="array" ref="AH13">SUM(IF($AA$6:$AA$1340=AE13,($X$6:$X$1340),0))/SUM(IF($AA$6:$AA$1340=AE13,1,0))</f>
        <v>#DIV/0!</v>
      </c>
      <c r="AJ13" s="22">
        <v>46053</v>
      </c>
      <c r="AK13" t="str">
        <v>NMS boxing aftermath</v>
      </c>
      <c r="AL13">
        <v>3</v>
      </c>
      <c r="AM13" s="5">
        <v>11554</v>
      </c>
      <c r="AN13" s="5">
        <v>21997</v>
      </c>
      <c r="AO13" s="5">
        <v>828</v>
      </c>
      <c r="AP13" s="3">
        <v>6.7</v>
      </c>
      <c r="AQ13" s="6">
        <v>0.86319444444444449</v>
      </c>
      <c r="AR13" s="8" t="str">
        <v>Late-night</v>
      </c>
      <c r="AV13" t="s">
        <v>126</v>
      </c>
      <c r="AW13" s="35" cm="1">
        <f t="array" ref="AW13">SUM(IF($AR$6:$AR$1340=AV13,(($AP$6:$AP$1340)),0))/$AU$12</f>
        <v>0</v>
      </c>
      <c r="AX13" s="9" t="e" cm="1">
        <f t="array" ref="AX13">SUM(IF($AR$6:$AR$1340=AV13,($AM$6:$AM$1340),0))/SUM(IF($AR$6:$AR$1340=AV13,1,0))</f>
        <v>#DIV/0!</v>
      </c>
      <c r="AY13" s="9" t="e" cm="1">
        <f t="array" ref="AY13">SUM(IF($AR$6:$AR$1340=AV13,($AO$6:$AO$1340),0))/SUM(IF($AR$6:$AR$1340=AV13,1,0))</f>
        <v>#DIV/0!</v>
      </c>
      <c r="BA13" s="22">
        <v>46061</v>
      </c>
      <c r="BB13" t="str">
        <v xml:space="preserve">Thailand day 2 </v>
      </c>
      <c r="BC13">
        <v>4</v>
      </c>
      <c r="BD13" s="5">
        <v>5102</v>
      </c>
      <c r="BE13" s="5">
        <v>7057</v>
      </c>
      <c r="BF13" s="5">
        <v>217</v>
      </c>
      <c r="BG13" s="3">
        <v>4</v>
      </c>
      <c r="BH13" s="6">
        <v>0.11458333333333333</v>
      </c>
      <c r="BI13" s="8" t="str">
        <v>KeYS</v>
      </c>
      <c r="BM13" t="s">
        <v>126</v>
      </c>
      <c r="BN13" s="35" cm="1">
        <f t="array" ref="BN13">SUM(IF($BI$6:$BI$1340=BM13,(($BG$6:$BG$1340)),0))/$BL$12</f>
        <v>0</v>
      </c>
      <c r="BO13" s="9" t="e" cm="1">
        <f t="array" ref="BO13">SUM(IF($BI$6:$BI$1340=BM13,($BD$6:$BD$1340),0))/SUM(IF($BI$6:$BI$1340=BM13,1,0))</f>
        <v>#DIV/0!</v>
      </c>
      <c r="BP13" s="9" t="e" cm="1">
        <f t="array" ref="BP13">SUM(IF($BI$6:$BI$1340=BM13,($BF$6:$BF$1340),0))/SUM(IF($BI$6:$BI$1340=BM13,1,0))</f>
        <v>#DIV/0!</v>
      </c>
      <c r="BR13" s="22">
        <v>46005</v>
      </c>
      <c r="BS13" t="str">
        <v>Finding MICA</v>
      </c>
      <c r="BT13">
        <v>5</v>
      </c>
      <c r="BU13" s="5">
        <v>4178</v>
      </c>
      <c r="BV13" s="5">
        <v>5449</v>
      </c>
      <c r="BW13" s="5">
        <v>688</v>
      </c>
      <c r="BX13" s="3">
        <v>8.8000000000000007</v>
      </c>
      <c r="BY13" s="6">
        <v>0.80069444444444449</v>
      </c>
      <c r="BZ13" s="8" t="str">
        <v>Good times</v>
      </c>
      <c r="CD13" t="s">
        <v>126</v>
      </c>
      <c r="CE13" s="35" cm="1">
        <f t="array" ref="CE13">SUM(IF($BZ$6:$BZ$1340=CD13,(($BX$6:$BX$1340)),0))/$CC$12</f>
        <v>0</v>
      </c>
      <c r="CF13" s="9" t="e" cm="1">
        <f t="array" ref="CF13">SUM(IF($BZ$6:$BZ$1340=CD13,($BU$6:$BU$1340),0))/SUM(IF($BZ$6:$BZ$1340=CD13,1,0))</f>
        <v>#DIV/0!</v>
      </c>
      <c r="CG13" s="9" t="e" cm="1">
        <f t="array" ref="CG13">SUM(IF($BZ$6:$BZ$1340=CD13,($BW$6:$BW$1340),0))/SUM(IF($BZ$6:$BZ$1340=CD13,1,0))</f>
        <v>#DIV/0!</v>
      </c>
      <c r="CU13" t="s">
        <v>126</v>
      </c>
      <c r="CV13" s="35" cm="1">
        <f t="array" ref="CV13">SUM(IF($CQ$6:$CQ$1340=CU13,(($CO$6:$CO$1340)),0))/$CT$12</f>
        <v>0.1648351648351648</v>
      </c>
      <c r="CW13" s="9" cm="1">
        <f t="array" ref="CW13">SUM(IF($CQ$6:$CQ$1340=CU13,($CL$6:$CL$1340),0))/SUM(IF($CQ$6:$CQ$1340=CU13,1,0))</f>
        <v>5016</v>
      </c>
      <c r="CX13" s="9" cm="1">
        <f t="array" ref="CX13">SUM(IF($CQ$6:$CQ$1340=CU13,($CN$6:$CN$1340),0))/SUM(IF($CQ$6:$CQ$1340=CU13,1,0))</f>
        <v>396</v>
      </c>
      <c r="CZ13" s="22">
        <v>46078</v>
      </c>
      <c r="DA13" t="str">
        <v>Pop the balloon for Guapo</v>
      </c>
      <c r="DB13">
        <v>7</v>
      </c>
      <c r="DC13" s="5">
        <v>8032</v>
      </c>
      <c r="DD13" s="5">
        <v>9676</v>
      </c>
      <c r="DE13" s="5">
        <v>98</v>
      </c>
      <c r="DF13" s="3">
        <v>1.9</v>
      </c>
      <c r="DG13" s="6">
        <v>0.65138888888888891</v>
      </c>
      <c r="DH13" s="8" t="str">
        <v>Prime hours</v>
      </c>
      <c r="DL13" t="s">
        <v>126</v>
      </c>
      <c r="DM13" s="35" cm="1">
        <f t="array" ref="DM13">SUM(IF($DH$6:$DH$1340=DL13,(($DF$6:$DF$1340)),0))/$DK$12</f>
        <v>0</v>
      </c>
      <c r="DN13" s="9" t="e" cm="1">
        <f t="array" ref="DN13">SUM(IF($DH$6:$DH$1340=DL13,($DC$6:$DC$1340),0))/SUM(IF($DH$6:$DH$1340=DL13,1,0))</f>
        <v>#DIV/0!</v>
      </c>
      <c r="DO13" s="9" t="e" cm="1">
        <f t="array" ref="DO13">SUM(IF($DH$6:$DH$1340=DL13,($DE$6:$DE$1340),0))/SUM(IF($DH$6:$DH$1340=DL13,1,0))</f>
        <v>#DIV/0!</v>
      </c>
      <c r="EC13" t="s">
        <v>126</v>
      </c>
      <c r="ED13" s="35" cm="1">
        <f t="array" ref="ED13">SUM(IF($DY$6:$DY$1340=EC13,(($DW$6:$DW$1340)),0))/$EB$12</f>
        <v>0.17579250720461093</v>
      </c>
      <c r="EE13" s="9" cm="1">
        <f t="array" ref="EE13">SUM(IF($DY$6:$DY$1340=EC13,($DT$6:$DT$1340),0))/SUM(IF($DY$6:$DY$1340=EC13,1,0))</f>
        <v>5671</v>
      </c>
      <c r="EF13" s="9" cm="1">
        <f t="array" ref="EF13">SUM(IF($DY$6:$DY$1340=EC13,($DV$6:$DV$1340),0))/SUM(IF($DY$6:$DY$1340=EC13,1,0))</f>
        <v>628</v>
      </c>
    </row>
    <row r="14" spans="1:136" x14ac:dyDescent="0.2">
      <c r="B14" s="22">
        <v>46033</v>
      </c>
      <c r="C14" t="str">
        <v>ARK</v>
      </c>
      <c r="D14">
        <v>1</v>
      </c>
      <c r="E14" s="15">
        <v>5384</v>
      </c>
      <c r="F14" s="15">
        <v>7099</v>
      </c>
      <c r="G14" s="15">
        <v>367</v>
      </c>
      <c r="H14" s="16">
        <v>6.4</v>
      </c>
      <c r="I14" s="6">
        <v>0.94513888888888886</v>
      </c>
      <c r="J14" s="17" t="str">
        <v>GG EST mfs</v>
      </c>
      <c r="K14" s="23">
        <f t="shared" si="0"/>
        <v>5384</v>
      </c>
      <c r="N14" t="s">
        <v>120</v>
      </c>
      <c r="O14" s="35" cm="1">
        <f t="array" ref="O14">SUM(IF($J$6:$J$1340=N14,(($H$6:$H$1340)),0))/$M$12</f>
        <v>0</v>
      </c>
      <c r="P14" s="9" t="e" cm="1">
        <f t="array" ref="P14">SUM(IF($J$6:$J$1340=N14,($E$6:$E$1340),0))/SUM(IF($J$6:$J$1340=N14,1,0))</f>
        <v>#DIV/0!</v>
      </c>
      <c r="Q14" s="9" t="e" cm="1">
        <f t="array" ref="Q14">SUM(IF($J$6:$J$1340=N14,($G$6:$G$1340),0))/SUM(IF($J$6:$J$1340=N14,1,0))</f>
        <v>#DIV/0!</v>
      </c>
      <c r="S14" s="22">
        <v>46013</v>
      </c>
      <c r="T14" t="str">
        <v>ExtraEmily impractical jokers</v>
      </c>
      <c r="U14">
        <v>2</v>
      </c>
      <c r="V14" s="5">
        <v>5472</v>
      </c>
      <c r="W14" s="5">
        <v>7261</v>
      </c>
      <c r="X14" s="5">
        <v>695</v>
      </c>
      <c r="Y14" s="3">
        <v>7.1</v>
      </c>
      <c r="Z14" s="6">
        <v>0.58333333333333337</v>
      </c>
      <c r="AA14" s="8" t="str">
        <v>Prime hours</v>
      </c>
      <c r="AE14" t="s">
        <v>120</v>
      </c>
      <c r="AF14" s="35" cm="1">
        <f t="array" ref="AF14">SUM(IF($AA$6:$AA$1340=AE14,(($Y$6:$Y$1340)),0))/$AD$12</f>
        <v>0</v>
      </c>
      <c r="AG14" s="9" t="e" cm="1">
        <f t="array" ref="AG14">SUM(IF($AA$6:$AA$1340=AE14,($V$6:$V$1340),0))/SUM(IF($AA$6:$AA$1340=AE14,1,0))</f>
        <v>#DIV/0!</v>
      </c>
      <c r="AH14" s="9" t="e" cm="1">
        <f t="array" ref="AH14">SUM(IF($AA$6:$AA$1340=AE14,($X$6:$X$1340),0))/SUM(IF($AA$6:$AA$1340=AE14,1,0))</f>
        <v>#DIV/0!</v>
      </c>
      <c r="AJ14" s="22">
        <v>46114</v>
      </c>
      <c r="AK14" t="str">
        <v>Lost in Austin w Zoil</v>
      </c>
      <c r="AL14">
        <v>3</v>
      </c>
      <c r="AM14" s="5">
        <v>4962</v>
      </c>
      <c r="AN14" s="5">
        <v>7262</v>
      </c>
      <c r="AO14" s="5">
        <v>270</v>
      </c>
      <c r="AP14" s="3">
        <v>12.5</v>
      </c>
      <c r="AQ14" s="6">
        <v>0.57361111111111107</v>
      </c>
      <c r="AR14" s="8" t="str">
        <v>Great times</v>
      </c>
      <c r="AV14" t="s">
        <v>120</v>
      </c>
      <c r="AW14" s="35" cm="1">
        <f t="array" ref="AW14">SUM(IF($AR$6:$AR$1340=AV14,(($AP$6:$AP$1340)),0))/$AU$12</f>
        <v>0</v>
      </c>
      <c r="AX14" s="9" t="e" cm="1">
        <f t="array" ref="AX14">SUM(IF($AR$6:$AR$1340=AV14,($AM$6:$AM$1340),0))/SUM(IF($AR$6:$AR$1340=AV14,1,0))</f>
        <v>#DIV/0!</v>
      </c>
      <c r="AY14" s="9" t="e" cm="1">
        <f t="array" ref="AY14">SUM(IF($AR$6:$AR$1340=AV14,($AO$6:$AO$1340),0))/SUM(IF($AR$6:$AR$1340=AV14,1,0))</f>
        <v>#DIV/0!</v>
      </c>
      <c r="BA14" s="22">
        <v>46061</v>
      </c>
      <c r="BB14" t="str">
        <v>Thailand day 3</v>
      </c>
      <c r="BC14">
        <v>4</v>
      </c>
      <c r="BD14" s="5">
        <v>8637</v>
      </c>
      <c r="BE14" s="5">
        <v>10534</v>
      </c>
      <c r="BF14" s="5">
        <v>570</v>
      </c>
      <c r="BG14" s="3">
        <v>5.9</v>
      </c>
      <c r="BH14" s="6">
        <v>0.86805555555555558</v>
      </c>
      <c r="BI14" s="8" t="str">
        <v>Late-night</v>
      </c>
      <c r="BM14" t="s">
        <v>120</v>
      </c>
      <c r="BN14" s="35" cm="1">
        <f t="array" ref="BN14">SUM(IF($BI$6:$BI$1340=BM14,(($BG$6:$BG$1340)),0))/$BL$12</f>
        <v>5.3380782918149461E-2</v>
      </c>
      <c r="BO14" s="9" cm="1">
        <f t="array" ref="BO14">SUM(IF($BI$6:$BI$1340=BM14,($BD$6:$BD$1340),0))/SUM(IF($BI$6:$BI$1340=BM14,1,0))</f>
        <v>6538</v>
      </c>
      <c r="BP14" s="9" cm="1">
        <f t="array" ref="BP14">SUM(IF($BI$6:$BI$1340=BM14,($BF$6:$BF$1340),0))/SUM(IF($BI$6:$BI$1340=BM14,1,0))</f>
        <v>564</v>
      </c>
      <c r="BR14" s="22">
        <v>46006</v>
      </c>
      <c r="BS14" t="str">
        <v>Doug Doug, 6 flags</v>
      </c>
      <c r="BT14">
        <v>5</v>
      </c>
      <c r="BU14" s="5">
        <v>3327</v>
      </c>
      <c r="BV14" s="5">
        <v>4846</v>
      </c>
      <c r="BW14" s="5">
        <v>218</v>
      </c>
      <c r="BX14" s="3">
        <v>4.3</v>
      </c>
      <c r="BY14" s="6">
        <v>0.50416666666666665</v>
      </c>
      <c r="BZ14" s="8" t="str">
        <v>Great times</v>
      </c>
      <c r="CD14" t="s">
        <v>120</v>
      </c>
      <c r="CE14" s="35" cm="1">
        <f t="array" ref="CE14">SUM(IF($BZ$6:$BZ$1340=CD14,(($BX$6:$BX$1340)),0))/$CC$12</f>
        <v>0</v>
      </c>
      <c r="CF14" s="9" t="e" cm="1">
        <f t="array" ref="CF14">SUM(IF($BZ$6:$BZ$1340=CD14,($BU$6:$BU$1340),0))/SUM(IF($BZ$6:$BZ$1340=CD14,1,0))</f>
        <v>#DIV/0!</v>
      </c>
      <c r="CG14" s="9" t="e" cm="1">
        <f t="array" ref="CG14">SUM(IF($BZ$6:$BZ$1340=CD14,($BW$6:$BW$1340),0))/SUM(IF($BZ$6:$BZ$1340=CD14,1,0))</f>
        <v>#DIV/0!</v>
      </c>
      <c r="CU14" t="s">
        <v>120</v>
      </c>
      <c r="CV14" s="35" cm="1">
        <f t="array" ref="CV14">SUM(IF($CQ$6:$CQ$1340=CU14,(($CO$6:$CO$1340)),0))/$CT$12</f>
        <v>0</v>
      </c>
      <c r="CW14" s="9" t="e" cm="1">
        <f t="array" ref="CW14">SUM(IF($CQ$6:$CQ$1340=CU14,($CL$6:$CL$1340),0))/SUM(IF($CQ$6:$CQ$1340=CU14,1,0))</f>
        <v>#DIV/0!</v>
      </c>
      <c r="CX14" s="9" t="e" cm="1">
        <f t="array" ref="CX14">SUM(IF($CQ$6:$CQ$1340=CU14,($CN$6:$CN$1340),0))/SUM(IF($CQ$6:$CQ$1340=CU14,1,0))</f>
        <v>#DIV/0!</v>
      </c>
      <c r="CZ14" s="22">
        <v>46080</v>
      </c>
      <c r="DA14" t="str">
        <v>Mr beast streamer vid (shhhh)</v>
      </c>
      <c r="DB14">
        <v>7</v>
      </c>
      <c r="DC14" s="5">
        <v>2351</v>
      </c>
      <c r="DD14" s="5">
        <v>6110</v>
      </c>
      <c r="DE14" s="5">
        <v>150</v>
      </c>
      <c r="DF14" s="3">
        <v>1.5</v>
      </c>
      <c r="DG14" s="6">
        <v>0.31388888888888888</v>
      </c>
      <c r="DH14" s="8" t="str">
        <v>KeYS</v>
      </c>
      <c r="DL14" t="s">
        <v>120</v>
      </c>
      <c r="DM14" s="35" cm="1">
        <f t="array" ref="DM14">SUM(IF($DH$6:$DH$1340=DL14,(($DF$6:$DF$1340)),0))/$DK$12</f>
        <v>0</v>
      </c>
      <c r="DN14" s="9" t="e" cm="1">
        <f t="array" ref="DN14">SUM(IF($DH$6:$DH$1340=DL14,($DC$6:$DC$1340),0))/SUM(IF($DH$6:$DH$1340=DL14,1,0))</f>
        <v>#DIV/0!</v>
      </c>
      <c r="DO14" s="9" t="e" cm="1">
        <f t="array" ref="DO14">SUM(IF($DH$6:$DH$1340=DL14,($DE$6:$DE$1340),0))/SUM(IF($DH$6:$DH$1340=DL14,1,0))</f>
        <v>#DIV/0!</v>
      </c>
      <c r="EC14" t="s">
        <v>120</v>
      </c>
      <c r="ED14" s="35" cm="1">
        <f t="array" ref="ED14">SUM(IF($DY$6:$DY$1340=EC14,(($DW$6:$DW$1340)),0))/$EB$12</f>
        <v>0</v>
      </c>
      <c r="EE14" s="9" t="e" cm="1">
        <f t="array" ref="EE14">SUM(IF($DY$6:$DY$1340=EC14,($DT$6:$DT$1340),0))/SUM(IF($DY$6:$DY$1340=EC14,1,0))</f>
        <v>#DIV/0!</v>
      </c>
      <c r="EF14" s="9" t="e" cm="1">
        <f t="array" ref="EF14">SUM(IF($DY$6:$DY$1340=EC14,($DV$6:$DV$1340),0))/SUM(IF($DY$6:$DY$1340=EC14,1,0))</f>
        <v>#DIV/0!</v>
      </c>
    </row>
    <row r="15" spans="1:136" x14ac:dyDescent="0.2">
      <c r="B15" s="22">
        <v>46065</v>
      </c>
      <c r="C15" t="str">
        <v>Debrief of thailand + "OSCS" day</v>
      </c>
      <c r="D15">
        <v>1</v>
      </c>
      <c r="E15" s="15">
        <v>6091</v>
      </c>
      <c r="F15" s="15">
        <v>9276</v>
      </c>
      <c r="G15" s="15">
        <v>546</v>
      </c>
      <c r="H15" s="4">
        <v>12.6</v>
      </c>
      <c r="I15" s="7">
        <v>0.55277777777777781</v>
      </c>
      <c r="J15" s="17" t="str">
        <v>Great times</v>
      </c>
      <c r="K15" s="23">
        <f t="shared" si="0"/>
        <v>6091</v>
      </c>
      <c r="N15" t="s">
        <v>114</v>
      </c>
      <c r="O15" s="35" cm="1">
        <f t="array" ref="O15">SUM(IF($J$6:$J$1340=N15,(($H$6:$H$1340)),0))/$M$12</f>
        <v>0</v>
      </c>
      <c r="P15" s="9" t="e" cm="1">
        <f t="array" ref="P15">SUM(IF($J$6:$J$1340=N15,($E$6:$E$1340),0))/SUM(IF($J$6:$J$1340=N15,1,0))</f>
        <v>#DIV/0!</v>
      </c>
      <c r="Q15" s="9" t="e" cm="1">
        <f t="array" ref="Q15">SUM(IF($J$6:$J$1340=N15,($G$6:$G$1340),0))/SUM(IF($J$6:$J$1340=N15,1,0))</f>
        <v>#DIV/0!</v>
      </c>
      <c r="S15" s="22">
        <v>46020</v>
      </c>
      <c r="T15" t="str">
        <v>Snowboarding w Blau</v>
      </c>
      <c r="U15">
        <v>2</v>
      </c>
      <c r="V15" s="5">
        <v>3313</v>
      </c>
      <c r="W15" s="5">
        <v>4107</v>
      </c>
      <c r="X15" s="5">
        <v>269</v>
      </c>
      <c r="Y15" s="3">
        <v>4.3</v>
      </c>
      <c r="Z15" s="6">
        <v>0.7</v>
      </c>
      <c r="AA15" s="8" t="str">
        <v>Prime hours</v>
      </c>
      <c r="AE15" t="s">
        <v>114</v>
      </c>
      <c r="AF15" s="35" cm="1">
        <f t="array" ref="AF15">SUM(IF($AA$6:$AA$1340=AE15,(($Y$6:$Y$1340)),0))/$AD$12</f>
        <v>0</v>
      </c>
      <c r="AG15" s="9" t="e" cm="1">
        <f t="array" ref="AG15">SUM(IF($AA$6:$AA$1340=AE15,($V$6:$V$1340),0))/SUM(IF($AA$6:$AA$1340=AE15,1,0))</f>
        <v>#DIV/0!</v>
      </c>
      <c r="AH15" s="9" t="e" cm="1">
        <f t="array" ref="AH15">SUM(IF($AA$6:$AA$1340=AE15,($X$6:$X$1340),0))/SUM(IF($AA$6:$AA$1340=AE15,1,0))</f>
        <v>#DIV/0!</v>
      </c>
      <c r="AJ15" s="22">
        <v>46117</v>
      </c>
      <c r="AK15" t="str">
        <v>Knutt's Easter, balesh, and forest</v>
      </c>
      <c r="AL15">
        <v>3</v>
      </c>
      <c r="AM15" s="5">
        <v>7155</v>
      </c>
      <c r="AN15" s="5">
        <v>12070</v>
      </c>
      <c r="AO15" s="5">
        <v>557</v>
      </c>
      <c r="AP15" s="3">
        <v>10.199999999999999</v>
      </c>
      <c r="AQ15" s="6">
        <v>0.63194444444444442</v>
      </c>
      <c r="AR15" s="8" t="str">
        <v>Prime hours</v>
      </c>
      <c r="AV15" t="s">
        <v>114</v>
      </c>
      <c r="AW15" s="35" cm="1">
        <f t="array" ref="AW15">SUM(IF($AR$6:$AR$1340=AV15,(($AP$6:$AP$1340)),0))/$AU$12</f>
        <v>0</v>
      </c>
      <c r="AX15" s="9" t="e" cm="1">
        <f t="array" ref="AX15">SUM(IF($AR$6:$AR$1340=AV15,($AM$6:$AM$1340),0))/SUM(IF($AR$6:$AR$1340=AV15,1,0))</f>
        <v>#DIV/0!</v>
      </c>
      <c r="AY15" s="9" t="e" cm="1">
        <f t="array" ref="AY15">SUM(IF($AR$6:$AR$1340=AV15,($AO$6:$AO$1340),0))/SUM(IF($AR$6:$AR$1340=AV15,1,0))</f>
        <v>#DIV/0!</v>
      </c>
      <c r="BA15" s="22">
        <v>46063</v>
      </c>
      <c r="BB15" t="str">
        <v>Thailand day 4</v>
      </c>
      <c r="BC15">
        <v>4</v>
      </c>
      <c r="BD15" s="5">
        <v>6538</v>
      </c>
      <c r="BE15" s="5">
        <v>9311</v>
      </c>
      <c r="BF15" s="5">
        <v>564</v>
      </c>
      <c r="BG15" s="3">
        <v>6</v>
      </c>
      <c r="BH15" s="6">
        <v>3.472222222222222E-3</v>
      </c>
      <c r="BI15" s="8" t="str">
        <v>Lol</v>
      </c>
      <c r="BM15" t="s">
        <v>114</v>
      </c>
      <c r="BN15" s="35" cm="1">
        <f t="array" ref="BN15">SUM(IF($BI$6:$BI$1340=BM15,(($BG$6:$BG$1340)),0))/$BL$12</f>
        <v>3.5587188612099641E-2</v>
      </c>
      <c r="BO15" s="9" cm="1">
        <f t="array" ref="BO15">SUM(IF($BI$6:$BI$1340=BM15,($BD$6:$BD$1340),0))/SUM(IF($BI$6:$BI$1340=BM15,1,0))</f>
        <v>5102</v>
      </c>
      <c r="BP15" s="9" cm="1">
        <f t="array" ref="BP15">SUM(IF($BI$6:$BI$1340=BM15,($BF$6:$BF$1340),0))/SUM(IF($BI$6:$BI$1340=BM15,1,0))</f>
        <v>217</v>
      </c>
      <c r="BR15" s="22">
        <v>46021</v>
      </c>
      <c r="BS15" t="str">
        <v>Desktop + bench</v>
      </c>
      <c r="BT15">
        <v>5</v>
      </c>
      <c r="BU15" s="5">
        <v>5016</v>
      </c>
      <c r="BV15" s="5">
        <v>8267</v>
      </c>
      <c r="BW15" s="5">
        <v>881</v>
      </c>
      <c r="BX15" s="3">
        <v>12.4</v>
      </c>
      <c r="BY15" s="6">
        <v>0.69374999999999998</v>
      </c>
      <c r="BZ15" s="8" t="str">
        <v>Prime hours</v>
      </c>
      <c r="CD15" t="s">
        <v>114</v>
      </c>
      <c r="CE15" s="35" cm="1">
        <f t="array" ref="CE15">SUM(IF($BZ$6:$BZ$1340=CD15,(($BX$6:$BX$1340)),0))/$CC$12</f>
        <v>0</v>
      </c>
      <c r="CF15" s="9" t="e" cm="1">
        <f t="array" ref="CF15">SUM(IF($BZ$6:$BZ$1340=CD15,($BU$6:$BU$1340),0))/SUM(IF($BZ$6:$BZ$1340=CD15,1,0))</f>
        <v>#DIV/0!</v>
      </c>
      <c r="CG15" s="9" t="e" cm="1">
        <f t="array" ref="CG15">SUM(IF($BZ$6:$BZ$1340=CD15,($BW$6:$BW$1340),0))/SUM(IF($BZ$6:$BZ$1340=CD15,1,0))</f>
        <v>#DIV/0!</v>
      </c>
      <c r="CU15" t="s">
        <v>114</v>
      </c>
      <c r="CV15" s="35" cm="1">
        <f t="array" ref="CV15">SUM(IF($CQ$6:$CQ$1340=CU15,(($CO$6:$CO$1340)),0))/$CT$12</f>
        <v>0</v>
      </c>
      <c r="CW15" s="9" t="e" cm="1">
        <f t="array" ref="CW15">SUM(IF($CQ$6:$CQ$1340=CU15,($CL$6:$CL$1340),0))/SUM(IF($CQ$6:$CQ$1340=CU15,1,0))</f>
        <v>#DIV/0!</v>
      </c>
      <c r="CX15" s="9" t="e" cm="1">
        <f t="array" ref="CX15">SUM(IF($CQ$6:$CQ$1340=CU15,($CN$6:$CN$1340),0))/SUM(IF($CQ$6:$CQ$1340=CU15,1,0))</f>
        <v>#DIV/0!</v>
      </c>
      <c r="CZ15" s="22">
        <v>46096</v>
      </c>
      <c r="DA15" t="str">
        <v>Jynxzi cs tourney</v>
      </c>
      <c r="DB15">
        <v>7</v>
      </c>
      <c r="DC15" s="5">
        <v>3589</v>
      </c>
      <c r="DD15" s="5">
        <v>6488</v>
      </c>
      <c r="DE15" s="5">
        <v>821</v>
      </c>
      <c r="DF15" s="3">
        <v>12</v>
      </c>
      <c r="DG15" s="6">
        <v>0.58611111111111114</v>
      </c>
      <c r="DH15" s="8" t="str">
        <v>Prime hours</v>
      </c>
      <c r="DL15" t="s">
        <v>114</v>
      </c>
      <c r="DM15" s="35" cm="1">
        <f t="array" ref="DM15">SUM(IF($DH$6:$DH$1340=DL15,(($DF$6:$DF$1340)),0))/$DK$12</f>
        <v>1.3181019332161686E-2</v>
      </c>
      <c r="DN15" s="9" cm="1">
        <f t="array" ref="DN15">SUM(IF($DH$6:$DH$1340=DL15,($DC$6:$DC$1340),0))/SUM(IF($DH$6:$DH$1340=DL15,1,0))</f>
        <v>2351</v>
      </c>
      <c r="DO15" s="9" cm="1">
        <f t="array" ref="DO15">SUM(IF($DH$6:$DH$1340=DL15,($DE$6:$DE$1340),0))/SUM(IF($DH$6:$DH$1340=DL15,1,0))</f>
        <v>150</v>
      </c>
      <c r="EC15" t="s">
        <v>114</v>
      </c>
      <c r="ED15" s="35" cm="1">
        <f t="array" ref="ED15">SUM(IF($DY$6:$DY$1340=EC15,(($DW$6:$DW$1340)),0))/$EB$12</f>
        <v>0</v>
      </c>
      <c r="EE15" s="9" t="e" cm="1">
        <f t="array" ref="EE15">SUM(IF($DY$6:$DY$1340=EC15,($DT$6:$DT$1340),0))/SUM(IF($DY$6:$DY$1340=EC15,1,0))</f>
        <v>#DIV/0!</v>
      </c>
      <c r="EF15" s="9" t="e" cm="1">
        <f t="array" ref="EF15">SUM(IF($DY$6:$DY$1340=EC15,($DV$6:$DV$1340),0))/SUM(IF($DY$6:$DY$1340=EC15,1,0))</f>
        <v>#DIV/0!</v>
      </c>
    </row>
    <row r="16" spans="1:136" x14ac:dyDescent="0.2">
      <c r="B16" s="22">
        <v>46077</v>
      </c>
      <c r="C16" t="str">
        <v>ARK</v>
      </c>
      <c r="D16">
        <v>1</v>
      </c>
      <c r="E16" s="15">
        <v>2811</v>
      </c>
      <c r="F16" s="15">
        <v>3811</v>
      </c>
      <c r="G16" s="15">
        <v>163</v>
      </c>
      <c r="H16" s="16">
        <v>8</v>
      </c>
      <c r="I16" s="6">
        <v>0.82430555555555551</v>
      </c>
      <c r="J16" s="17" t="str">
        <v>Good times</v>
      </c>
      <c r="K16" s="23">
        <f t="shared" si="0"/>
        <v>2811</v>
      </c>
      <c r="S16" s="22">
        <v>46028</v>
      </c>
      <c r="T16" t="str">
        <v>Mr beast show</v>
      </c>
      <c r="U16">
        <v>2</v>
      </c>
      <c r="V16" s="5">
        <v>7780</v>
      </c>
      <c r="W16" s="5">
        <v>16710</v>
      </c>
      <c r="X16" s="5">
        <v>1143</v>
      </c>
      <c r="Y16" s="3">
        <v>10.3</v>
      </c>
      <c r="Z16" s="6">
        <v>0.69097222222222221</v>
      </c>
      <c r="AA16" s="8" t="str">
        <v>Prime hours</v>
      </c>
      <c r="AF16" s="42"/>
      <c r="AJ16" s="22">
        <v>46128</v>
      </c>
      <c r="AK16" t="str">
        <v>YDF first dance sob</v>
      </c>
      <c r="AL16">
        <v>3</v>
      </c>
      <c r="AM16" s="5">
        <v>4800</v>
      </c>
      <c r="AN16" s="5">
        <v>6713</v>
      </c>
      <c r="AO16" s="5">
        <v>217</v>
      </c>
      <c r="AP16" s="3">
        <v>9.1</v>
      </c>
      <c r="AQ16" s="6">
        <v>0.81666666666666665</v>
      </c>
      <c r="AR16" s="8" t="str">
        <v>Good times</v>
      </c>
      <c r="BA16" s="22">
        <v>46067</v>
      </c>
      <c r="BB16" t="str">
        <v>Valentines day w Bonnie</v>
      </c>
      <c r="BC16">
        <v>4</v>
      </c>
      <c r="BD16" s="5">
        <v>12614</v>
      </c>
      <c r="BE16" s="5">
        <v>16729</v>
      </c>
      <c r="BF16" s="5">
        <v>542</v>
      </c>
      <c r="BG16" s="3">
        <v>3.5</v>
      </c>
      <c r="BH16" s="6">
        <v>0.74652777777777779</v>
      </c>
      <c r="BI16" s="8" t="str">
        <v>Good times</v>
      </c>
      <c r="BR16" s="22">
        <v>46022</v>
      </c>
      <c r="BS16" t="str">
        <v>OSCS new years</v>
      </c>
      <c r="BT16">
        <v>5</v>
      </c>
      <c r="BU16" s="5">
        <v>6045</v>
      </c>
      <c r="BV16" s="5">
        <v>9010</v>
      </c>
      <c r="BW16" s="5">
        <v>295</v>
      </c>
      <c r="BX16" s="3">
        <v>10.1</v>
      </c>
      <c r="BY16" s="6">
        <v>0.83333333333333337</v>
      </c>
      <c r="BZ16" s="8" t="str">
        <v>Late-night</v>
      </c>
      <c r="CZ16" s="22">
        <v>46103</v>
      </c>
      <c r="DA16" t="str">
        <v>OSCS soccer tourney</v>
      </c>
      <c r="DB16">
        <v>7</v>
      </c>
      <c r="DC16" s="5">
        <v>6703</v>
      </c>
      <c r="DD16" s="5">
        <v>8156</v>
      </c>
      <c r="DE16" s="5">
        <v>249</v>
      </c>
      <c r="DF16" s="3">
        <v>4.4000000000000004</v>
      </c>
      <c r="DG16" s="6">
        <v>0.72083333333333333</v>
      </c>
      <c r="DH16" s="8" t="str">
        <v>Good times</v>
      </c>
    </row>
    <row r="17" spans="2:132" x14ac:dyDescent="0.2">
      <c r="B17" s="22">
        <v>46088</v>
      </c>
      <c r="C17" t="str">
        <v>Debrief of India</v>
      </c>
      <c r="D17">
        <v>1</v>
      </c>
      <c r="E17" s="15">
        <v>4596</v>
      </c>
      <c r="F17" s="15">
        <v>7325</v>
      </c>
      <c r="G17" s="15">
        <v>339</v>
      </c>
      <c r="H17" s="4">
        <v>7.8</v>
      </c>
      <c r="I17" s="7">
        <v>0.80486111111111114</v>
      </c>
      <c r="J17" s="17" t="str">
        <v>Good times</v>
      </c>
      <c r="K17" s="23">
        <f t="shared" si="0"/>
        <v>4596</v>
      </c>
      <c r="S17" s="22">
        <v>46034</v>
      </c>
      <c r="T17" t="str">
        <v>SIMS w yusuf</v>
      </c>
      <c r="U17">
        <v>2</v>
      </c>
      <c r="V17" s="5">
        <v>3900</v>
      </c>
      <c r="W17" s="5">
        <v>6861</v>
      </c>
      <c r="X17" s="5">
        <v>635</v>
      </c>
      <c r="Y17" s="3">
        <v>12.4</v>
      </c>
      <c r="Z17" s="6">
        <v>0.63194444444444442</v>
      </c>
      <c r="AA17" s="8" t="str">
        <v>Prime hours</v>
      </c>
      <c r="AJ17" s="22">
        <v>46136</v>
      </c>
      <c r="AK17" t="str">
        <v>100k geo guess + party for suburbs talk</v>
      </c>
      <c r="AL17">
        <v>3</v>
      </c>
      <c r="AM17" s="5">
        <v>3917</v>
      </c>
      <c r="AN17" s="5">
        <v>6371</v>
      </c>
      <c r="AO17" s="5">
        <v>532</v>
      </c>
      <c r="AP17" s="3">
        <v>14.2</v>
      </c>
      <c r="AQ17" s="6">
        <v>0.57013888888888886</v>
      </c>
      <c r="AR17" s="8" t="str">
        <v>Great times</v>
      </c>
      <c r="BA17" s="22">
        <v>46094</v>
      </c>
      <c r="BB17" t="str">
        <v>Lost in LA w Bonnie</v>
      </c>
      <c r="BC17">
        <v>4</v>
      </c>
      <c r="BD17" s="5">
        <v>6531</v>
      </c>
      <c r="BE17" s="5">
        <v>8181</v>
      </c>
      <c r="BF17" s="5">
        <v>460</v>
      </c>
      <c r="BG17" s="3">
        <v>10.1</v>
      </c>
      <c r="BH17" s="6">
        <v>0.71458333333333335</v>
      </c>
      <c r="BI17" s="8" t="str">
        <v>Good times</v>
      </c>
      <c r="BR17" s="22">
        <v>46026</v>
      </c>
      <c r="BS17" t="str">
        <v>Doug Doug OC fair</v>
      </c>
      <c r="BT17">
        <v>5</v>
      </c>
      <c r="BU17" s="5">
        <v>4845</v>
      </c>
      <c r="BV17" s="5">
        <v>7142</v>
      </c>
      <c r="BW17" s="5">
        <v>501</v>
      </c>
      <c r="BX17" s="3">
        <v>8</v>
      </c>
      <c r="BY17" s="6">
        <v>0.8305555555555556</v>
      </c>
      <c r="BZ17" s="8" t="str">
        <v>Good times</v>
      </c>
      <c r="CZ17" s="22">
        <v>46112</v>
      </c>
      <c r="DA17" t="str">
        <v>Fanum $50K RL tourney</v>
      </c>
      <c r="DB17">
        <v>7</v>
      </c>
      <c r="DC17" s="5">
        <v>4394</v>
      </c>
      <c r="DD17" s="5">
        <v>5872</v>
      </c>
      <c r="DE17" s="5">
        <v>99</v>
      </c>
      <c r="DF17" s="3">
        <v>3.7</v>
      </c>
      <c r="DG17" s="6">
        <v>0.72361111111111109</v>
      </c>
      <c r="DH17" s="8" t="str">
        <v>Good times</v>
      </c>
      <c r="EB17" s="39"/>
    </row>
    <row r="18" spans="2:132" x14ac:dyDescent="0.2">
      <c r="B18" s="22">
        <v>46129</v>
      </c>
      <c r="C18" t="str">
        <v>ARK Day + Sidemen charity match</v>
      </c>
      <c r="D18">
        <v>1</v>
      </c>
      <c r="E18">
        <v>4276</v>
      </c>
      <c r="F18">
        <v>8634</v>
      </c>
      <c r="G18">
        <v>619</v>
      </c>
      <c r="H18">
        <v>15.4</v>
      </c>
      <c r="I18" s="6">
        <v>0.77222222222222225</v>
      </c>
      <c r="J18" s="8" t="str">
        <v>Good times</v>
      </c>
      <c r="S18" s="22">
        <v>46036</v>
      </c>
      <c r="T18" t="str">
        <v>American ninja warrior w yonna</v>
      </c>
      <c r="U18">
        <v>2</v>
      </c>
      <c r="V18" s="5">
        <v>4456</v>
      </c>
      <c r="W18" s="5">
        <v>5317</v>
      </c>
      <c r="X18" s="5">
        <v>492</v>
      </c>
      <c r="Y18" s="3">
        <v>4.5</v>
      </c>
      <c r="Z18" s="6">
        <v>0.55902777777777779</v>
      </c>
      <c r="AA18" s="8" t="str">
        <v>Great times</v>
      </c>
      <c r="AJ18" s="22">
        <v>46139</v>
      </c>
      <c r="AK18" t="str">
        <v>desktop + sneaking into girls night</v>
      </c>
      <c r="AL18">
        <v>3</v>
      </c>
      <c r="AM18" s="5">
        <v>5088</v>
      </c>
      <c r="AN18" s="5">
        <v>7964</v>
      </c>
      <c r="AO18" s="5">
        <v>528</v>
      </c>
      <c r="AP18" s="3">
        <v>13.4</v>
      </c>
      <c r="AQ18" s="6">
        <v>0.66041666666666665</v>
      </c>
      <c r="AR18" s="8" t="str">
        <v>Prime hours</v>
      </c>
      <c r="BA18" s="22">
        <v>46116</v>
      </c>
      <c r="BB18" t="str">
        <v>Bro v Sis w Bonnie</v>
      </c>
      <c r="BC18">
        <v>4</v>
      </c>
      <c r="BD18" s="5">
        <v>7450</v>
      </c>
      <c r="BE18" s="5">
        <v>9748</v>
      </c>
      <c r="BF18" s="5">
        <v>387</v>
      </c>
      <c r="BG18" s="3">
        <v>7.2</v>
      </c>
      <c r="BH18" s="6">
        <v>0.78472222222222221</v>
      </c>
      <c r="BI18" s="8" t="str">
        <v>Good times</v>
      </c>
      <c r="BR18" s="22">
        <v>46027</v>
      </c>
      <c r="BS18" t="str">
        <v>Doug Doug world record</v>
      </c>
      <c r="BT18">
        <v>5</v>
      </c>
      <c r="BU18" s="5">
        <v>6665</v>
      </c>
      <c r="BV18" s="5">
        <v>21692</v>
      </c>
      <c r="BW18" s="5">
        <v>1141</v>
      </c>
      <c r="BX18" s="3">
        <v>11.5</v>
      </c>
      <c r="BY18" s="6">
        <v>0.64236111111111116</v>
      </c>
      <c r="BZ18" s="8" t="str">
        <v>Prime hours</v>
      </c>
      <c r="CZ18" s="22">
        <v>46120</v>
      </c>
      <c r="DA18" t="str">
        <v>Max's diss wars + balesh</v>
      </c>
      <c r="DB18">
        <v>7</v>
      </c>
      <c r="DC18" s="5">
        <v>7203</v>
      </c>
      <c r="DD18" s="5">
        <v>9911</v>
      </c>
      <c r="DE18" s="5">
        <v>312</v>
      </c>
      <c r="DF18" s="3">
        <v>8.3000000000000007</v>
      </c>
      <c r="DG18" s="6">
        <v>0.68333333333333335</v>
      </c>
      <c r="DH18" s="8" t="str">
        <v>Prime hours</v>
      </c>
    </row>
    <row r="19" spans="2:132" x14ac:dyDescent="0.2">
      <c r="B19" s="22">
        <v>46137</v>
      </c>
      <c r="C19" t="str">
        <v>R6 tourney + arksmp (blind date sob)</v>
      </c>
      <c r="D19">
        <v>1</v>
      </c>
      <c r="E19">
        <v>2794</v>
      </c>
      <c r="F19">
        <v>4724</v>
      </c>
      <c r="G19">
        <v>286</v>
      </c>
      <c r="H19">
        <v>11.6</v>
      </c>
      <c r="I19" s="6">
        <v>0.61736111111111114</v>
      </c>
      <c r="J19" s="8" t="str">
        <v>Prime hours</v>
      </c>
      <c r="S19" s="22">
        <v>46037</v>
      </c>
      <c r="T19" t="str">
        <v>Signing w Byrant Barnes + boxing</v>
      </c>
      <c r="U19">
        <v>2</v>
      </c>
      <c r="V19" s="5">
        <v>4305</v>
      </c>
      <c r="W19" s="5">
        <v>9727</v>
      </c>
      <c r="X19" s="5">
        <v>554</v>
      </c>
      <c r="Y19" s="3">
        <v>11.1</v>
      </c>
      <c r="Z19" s="6">
        <v>0.5805555555555556</v>
      </c>
      <c r="AA19" s="8" t="str">
        <v>Great times</v>
      </c>
      <c r="AJ19" s="22">
        <v>46143</v>
      </c>
      <c r="AK19" t="str">
        <v>Lost in Toronto</v>
      </c>
      <c r="AL19">
        <v>3</v>
      </c>
      <c r="AM19" s="5">
        <v>4201</v>
      </c>
      <c r="AN19" s="5">
        <v>6869</v>
      </c>
      <c r="AO19" s="5">
        <v>182</v>
      </c>
      <c r="AP19" s="3">
        <v>6.2</v>
      </c>
      <c r="AQ19" s="6">
        <v>0.60069444444444442</v>
      </c>
      <c r="AR19" s="8" t="str">
        <v>Prime hours</v>
      </c>
      <c r="BR19" s="22">
        <v>46031</v>
      </c>
      <c r="BS19" t="str">
        <v>OSCS game night</v>
      </c>
      <c r="BT19">
        <v>5</v>
      </c>
      <c r="BU19" s="5">
        <v>4680</v>
      </c>
      <c r="BV19" s="5">
        <v>8300</v>
      </c>
      <c r="BW19" s="5">
        <v>1048</v>
      </c>
      <c r="BX19" s="3">
        <v>17.8</v>
      </c>
      <c r="BY19" s="6">
        <v>0.51736111111111116</v>
      </c>
      <c r="BZ19" s="8" t="str">
        <v>Great times</v>
      </c>
      <c r="CZ19" s="22">
        <v>46125</v>
      </c>
      <c r="DA19" t="str">
        <v>OSCS Austin house party</v>
      </c>
      <c r="DB19">
        <v>7</v>
      </c>
      <c r="DC19" s="5">
        <v>7229</v>
      </c>
      <c r="DD19" s="5">
        <v>10018</v>
      </c>
      <c r="DE19" s="5">
        <v>787</v>
      </c>
      <c r="DF19" s="3">
        <v>16.600000000000001</v>
      </c>
      <c r="DG19" s="6">
        <v>0.46180555555555558</v>
      </c>
      <c r="DH19" s="8" t="str">
        <v>Great times</v>
      </c>
    </row>
    <row r="20" spans="2:132" x14ac:dyDescent="0.2">
      <c r="B20" s="22">
        <v>46140</v>
      </c>
      <c r="C20" t="str">
        <v>VR PARTY</v>
      </c>
      <c r="D20" s="18">
        <v>1</v>
      </c>
      <c r="E20">
        <v>4198</v>
      </c>
      <c r="F20">
        <v>5499</v>
      </c>
      <c r="G20" s="5">
        <v>100</v>
      </c>
      <c r="H20">
        <v>5</v>
      </c>
      <c r="I20" s="6">
        <v>0.80208333333333337</v>
      </c>
      <c r="J20" s="8" t="str">
        <v>Good times</v>
      </c>
      <c r="S20" s="22">
        <v>46040</v>
      </c>
      <c r="T20" t="str">
        <v>Truth or nasty w Hasan</v>
      </c>
      <c r="U20">
        <v>2</v>
      </c>
      <c r="V20" s="5">
        <v>4797</v>
      </c>
      <c r="W20" s="5">
        <v>7394</v>
      </c>
      <c r="X20" s="5">
        <v>1386</v>
      </c>
      <c r="Y20" s="3">
        <v>10.1</v>
      </c>
      <c r="Z20" s="6">
        <v>0.57499999999999996</v>
      </c>
      <c r="AA20" s="8" t="str">
        <v>Great times</v>
      </c>
      <c r="BR20" s="22">
        <v>46035</v>
      </c>
      <c r="BS20" t="str">
        <v>OSCS soap box</v>
      </c>
      <c r="BT20">
        <v>5</v>
      </c>
      <c r="BU20" s="5">
        <v>3682</v>
      </c>
      <c r="BV20" s="5">
        <v>5063</v>
      </c>
      <c r="BW20" s="5">
        <v>456</v>
      </c>
      <c r="BX20" s="3">
        <v>12.6</v>
      </c>
      <c r="BY20" s="6">
        <v>0.56736111111111109</v>
      </c>
      <c r="BZ20" s="8" t="str">
        <v>Great times</v>
      </c>
    </row>
    <row r="21" spans="2:132" x14ac:dyDescent="0.2">
      <c r="B21" s="22">
        <v>46144</v>
      </c>
      <c r="C21" t="str">
        <v>Toronto debrief</v>
      </c>
      <c r="D21" s="18">
        <v>1</v>
      </c>
      <c r="E21">
        <v>12436</v>
      </c>
      <c r="F21">
        <v>16928</v>
      </c>
      <c r="G21" s="5">
        <v>573</v>
      </c>
      <c r="H21">
        <v>2.7</v>
      </c>
      <c r="I21" s="6">
        <v>0.52361111111111114</v>
      </c>
      <c r="J21" s="8" t="str">
        <v>Great times</v>
      </c>
      <c r="S21" s="22">
        <v>46042</v>
      </c>
      <c r="T21" t="str">
        <v>OSCS Day w Silky</v>
      </c>
      <c r="U21">
        <v>2</v>
      </c>
      <c r="V21" s="5">
        <v>4745</v>
      </c>
      <c r="W21" s="5">
        <v>7147</v>
      </c>
      <c r="X21" s="5">
        <v>417</v>
      </c>
      <c r="Y21" s="3">
        <v>9.4</v>
      </c>
      <c r="Z21" s="6">
        <v>0.7631944444444444</v>
      </c>
      <c r="AA21" s="8" t="str">
        <v>Good times</v>
      </c>
      <c r="AV21" s="4"/>
      <c r="BR21" s="22">
        <v>46039</v>
      </c>
      <c r="BS21" t="str">
        <v>Running a mile vs Santi</v>
      </c>
      <c r="BT21">
        <v>5</v>
      </c>
      <c r="BU21" s="5">
        <v>6959</v>
      </c>
      <c r="BV21" s="5">
        <v>9048</v>
      </c>
      <c r="BW21" s="5">
        <v>460</v>
      </c>
      <c r="BX21" s="3">
        <v>8.5</v>
      </c>
      <c r="BY21" s="6">
        <v>0.73263888888888884</v>
      </c>
      <c r="BZ21" s="8" t="str">
        <v>Good times</v>
      </c>
    </row>
    <row r="22" spans="2:132" x14ac:dyDescent="0.2">
      <c r="D22"/>
      <c r="E22"/>
      <c r="F22"/>
      <c r="O22" s="39"/>
      <c r="S22" s="22">
        <v>46045</v>
      </c>
      <c r="T22" t="str">
        <v>OSCS v suburb talks</v>
      </c>
      <c r="U22">
        <v>2</v>
      </c>
      <c r="V22" s="5">
        <v>4079</v>
      </c>
      <c r="W22" s="5">
        <v>6171</v>
      </c>
      <c r="X22" s="5">
        <v>316</v>
      </c>
      <c r="Y22" s="3">
        <v>10.3</v>
      </c>
      <c r="Z22" s="6">
        <v>0.60347222222222219</v>
      </c>
      <c r="AA22" s="8" t="str">
        <v>Prime hours</v>
      </c>
      <c r="BR22" s="22">
        <v>46071</v>
      </c>
      <c r="BS22" t="str">
        <v xml:space="preserve">Debrief + sunny </v>
      </c>
      <c r="BT22">
        <v>5</v>
      </c>
      <c r="BU22" s="5">
        <v>3963</v>
      </c>
      <c r="BV22" s="5">
        <v>5720</v>
      </c>
      <c r="BW22" s="5">
        <v>427</v>
      </c>
      <c r="BX22" s="3">
        <v>13.7</v>
      </c>
      <c r="BY22" s="6">
        <v>0.66319444444444442</v>
      </c>
      <c r="BZ22" s="8" t="str">
        <v>Prime hours</v>
      </c>
    </row>
    <row r="23" spans="2:132" x14ac:dyDescent="0.2">
      <c r="D23" s="18"/>
      <c r="E23"/>
      <c r="F23"/>
      <c r="G23" s="18"/>
      <c r="S23" s="22">
        <v>46049</v>
      </c>
      <c r="T23" t="str">
        <v>Mukbang w Maru + Bigmon origin</v>
      </c>
      <c r="U23">
        <v>2</v>
      </c>
      <c r="V23" s="5">
        <v>5423</v>
      </c>
      <c r="W23" s="5">
        <v>7410</v>
      </c>
      <c r="X23" s="5">
        <v>399</v>
      </c>
      <c r="Y23" s="3">
        <v>6.7</v>
      </c>
      <c r="Z23" s="6">
        <v>0.84791666666666665</v>
      </c>
      <c r="AA23" s="8" t="str">
        <v>Late-night</v>
      </c>
      <c r="BR23" s="22">
        <v>46072</v>
      </c>
      <c r="BS23" t="str">
        <v>ARK</v>
      </c>
      <c r="BT23">
        <v>5</v>
      </c>
      <c r="BU23" s="5">
        <v>4487</v>
      </c>
      <c r="BV23" s="5">
        <v>7437</v>
      </c>
      <c r="BW23" s="5">
        <v>298</v>
      </c>
      <c r="BX23" s="3">
        <v>11.3</v>
      </c>
      <c r="BY23" s="6">
        <v>0.67638888888888893</v>
      </c>
      <c r="BZ23" s="8" t="str">
        <v>Prime hours</v>
      </c>
    </row>
    <row r="24" spans="2:132" x14ac:dyDescent="0.2">
      <c r="D24" s="4"/>
      <c r="E24"/>
      <c r="F24"/>
      <c r="G24"/>
      <c r="S24" s="22">
        <v>46051</v>
      </c>
      <c r="T24" t="str">
        <v>Facebook mukbang w Sakura</v>
      </c>
      <c r="U24">
        <v>2</v>
      </c>
      <c r="V24" s="5">
        <v>5689</v>
      </c>
      <c r="W24" s="5">
        <v>11032</v>
      </c>
      <c r="X24" s="5">
        <v>1323</v>
      </c>
      <c r="Y24" s="3">
        <v>15.1</v>
      </c>
      <c r="Z24" s="6">
        <v>0.56041666666666667</v>
      </c>
      <c r="AA24" s="8" t="str">
        <v>Great times</v>
      </c>
      <c r="BR24" s="22">
        <v>46091</v>
      </c>
      <c r="BS24" t="str">
        <v>Sex edu w Tara + soccer</v>
      </c>
      <c r="BT24">
        <v>5</v>
      </c>
      <c r="BU24" s="5">
        <v>4192</v>
      </c>
      <c r="BV24" s="5">
        <v>6632</v>
      </c>
      <c r="BW24" s="5">
        <v>387</v>
      </c>
      <c r="BX24" s="3">
        <v>12.2</v>
      </c>
      <c r="BY24" s="6">
        <v>0.62708333333333333</v>
      </c>
      <c r="BZ24" s="8" t="str">
        <v>Prime hours</v>
      </c>
    </row>
    <row r="25" spans="2:132" x14ac:dyDescent="0.2">
      <c r="D25"/>
      <c r="E25"/>
      <c r="F25"/>
      <c r="H25" s="39"/>
      <c r="S25" s="22">
        <v>46052</v>
      </c>
      <c r="T25" t="str">
        <v>Dumpster diving w Paige</v>
      </c>
      <c r="U25">
        <v>2</v>
      </c>
      <c r="V25" s="5">
        <v>5325</v>
      </c>
      <c r="W25" s="5">
        <v>8524</v>
      </c>
      <c r="X25" s="5">
        <v>466</v>
      </c>
      <c r="Y25" s="3">
        <v>6.1</v>
      </c>
      <c r="Z25" s="6">
        <v>0.86041666666666672</v>
      </c>
      <c r="AA25" s="8" t="str">
        <v>Late-night</v>
      </c>
      <c r="BR25" s="22">
        <v>46092</v>
      </c>
      <c r="BS25" t="str">
        <v>Doug Doug knotts berry farm</v>
      </c>
      <c r="BT25">
        <v>5</v>
      </c>
      <c r="BU25" s="5">
        <v>5112</v>
      </c>
      <c r="BV25" s="5">
        <v>6196</v>
      </c>
      <c r="BW25" s="5">
        <v>287</v>
      </c>
      <c r="BX25" s="3">
        <v>5</v>
      </c>
      <c r="BY25" s="6">
        <v>0.50347222222222221</v>
      </c>
      <c r="BZ25" s="8" t="str">
        <v>Great times</v>
      </c>
    </row>
    <row r="26" spans="2:132" x14ac:dyDescent="0.2">
      <c r="D26"/>
      <c r="E26"/>
      <c r="F26" s="18"/>
      <c r="G26" s="18"/>
      <c r="S26" s="22">
        <v>46053</v>
      </c>
      <c r="T26" t="str">
        <v>NMS boxing pregame w ZUGOI</v>
      </c>
      <c r="U26">
        <v>2</v>
      </c>
      <c r="V26" s="5">
        <v>11590</v>
      </c>
      <c r="W26" s="5">
        <v>15132</v>
      </c>
      <c r="X26" s="5">
        <v>645</v>
      </c>
      <c r="Y26" s="3">
        <v>4.3</v>
      </c>
      <c r="Z26" s="6">
        <v>0.55208333333333337</v>
      </c>
      <c r="AA26" s="8" t="str">
        <v>Great times</v>
      </c>
      <c r="BR26" s="22">
        <v>46099</v>
      </c>
      <c r="BS26" t="str">
        <v>YDF day 1</v>
      </c>
      <c r="BT26">
        <v>5</v>
      </c>
      <c r="BU26" s="5">
        <v>7256</v>
      </c>
      <c r="BV26" s="5">
        <v>11579</v>
      </c>
      <c r="BW26" s="5">
        <v>502</v>
      </c>
      <c r="BX26" s="3">
        <v>7.9</v>
      </c>
      <c r="BY26" s="6">
        <v>0.78402777777777777</v>
      </c>
      <c r="BZ26" s="8" t="str">
        <v>Good times</v>
      </c>
    </row>
    <row r="27" spans="2:132" x14ac:dyDescent="0.2">
      <c r="D27"/>
      <c r="E27"/>
      <c r="F27"/>
      <c r="G27"/>
      <c r="S27" s="22">
        <v>46054</v>
      </c>
      <c r="T27" t="str">
        <v>OSCS day w Ray</v>
      </c>
      <c r="U27">
        <v>2</v>
      </c>
      <c r="V27" s="5">
        <v>5914</v>
      </c>
      <c r="W27" s="5">
        <v>9309</v>
      </c>
      <c r="X27" s="5">
        <v>1221</v>
      </c>
      <c r="Y27" s="3">
        <v>10.1</v>
      </c>
      <c r="Z27" s="6">
        <v>0.6166666666666667</v>
      </c>
      <c r="AA27" s="8" t="str">
        <v>Prime hours</v>
      </c>
      <c r="BR27" s="22">
        <v>46101</v>
      </c>
      <c r="BS27" t="str">
        <v>YDF day 2 + futbol prac</v>
      </c>
      <c r="BT27">
        <v>5</v>
      </c>
      <c r="BU27" s="5">
        <v>6485</v>
      </c>
      <c r="BV27" s="5">
        <v>8502</v>
      </c>
      <c r="BW27" s="5">
        <v>442</v>
      </c>
      <c r="BX27" s="3">
        <v>10.7</v>
      </c>
      <c r="BY27" s="6">
        <v>0.77083333333333337</v>
      </c>
      <c r="BZ27" s="8" t="str">
        <v>Good times</v>
      </c>
    </row>
    <row r="28" spans="2:132" x14ac:dyDescent="0.2">
      <c r="D28"/>
      <c r="E28"/>
      <c r="F28"/>
      <c r="G28"/>
      <c r="S28" s="22">
        <v>46076</v>
      </c>
      <c r="T28" t="str">
        <v>Gross ones w yusuf</v>
      </c>
      <c r="U28">
        <v>2</v>
      </c>
      <c r="V28" s="5">
        <v>4822</v>
      </c>
      <c r="W28" s="5">
        <v>0</v>
      </c>
      <c r="X28" s="5">
        <v>341</v>
      </c>
      <c r="Y28" s="3">
        <v>12.2</v>
      </c>
      <c r="Z28" s="6">
        <v>0.77222222222222225</v>
      </c>
      <c r="AA28" s="8" t="str">
        <v>Good times</v>
      </c>
      <c r="BR28" s="22">
        <v>46105</v>
      </c>
      <c r="BS28" t="str">
        <v>QT &amp; ada canceled, so we got some bs</v>
      </c>
      <c r="BT28">
        <v>5</v>
      </c>
      <c r="BU28" s="5">
        <v>5708</v>
      </c>
      <c r="BV28" s="5">
        <v>9557</v>
      </c>
      <c r="BW28" s="5">
        <v>380</v>
      </c>
      <c r="BX28" s="3">
        <v>14.8</v>
      </c>
      <c r="BY28" s="6">
        <v>0.58888888888888891</v>
      </c>
      <c r="BZ28" s="8" t="str">
        <v>Prime hours</v>
      </c>
    </row>
    <row r="29" spans="2:132" x14ac:dyDescent="0.2">
      <c r="D29"/>
      <c r="E29"/>
      <c r="F29"/>
      <c r="G29"/>
      <c r="S29" s="22">
        <v>46089</v>
      </c>
      <c r="T29" t="str">
        <v>Jynxzi R6 tourney + barky + games</v>
      </c>
      <c r="U29">
        <v>2</v>
      </c>
      <c r="V29" s="5">
        <v>4050</v>
      </c>
      <c r="W29" s="5">
        <v>10950</v>
      </c>
      <c r="X29" s="5">
        <v>1010</v>
      </c>
      <c r="Y29" s="3">
        <v>14.5</v>
      </c>
      <c r="Z29" s="6">
        <v>0.55833333333333335</v>
      </c>
      <c r="AA29" s="8" t="str">
        <v>Great times</v>
      </c>
      <c r="BR29" s="22">
        <v>46113</v>
      </c>
      <c r="BS29" t="str">
        <v>OSCS House reveal</v>
      </c>
      <c r="BT29">
        <v>5</v>
      </c>
      <c r="BU29" s="5">
        <v>5395</v>
      </c>
      <c r="BV29" s="5">
        <v>6807</v>
      </c>
      <c r="BW29" s="5">
        <v>396</v>
      </c>
      <c r="BX29" s="3">
        <v>9.9</v>
      </c>
      <c r="BY29" s="6">
        <v>0.55486111111111114</v>
      </c>
      <c r="BZ29" s="8" t="str">
        <v>Great times</v>
      </c>
    </row>
    <row r="30" spans="2:132" s="14" customFormat="1" ht="12.75" customHeight="1" x14ac:dyDescent="0.2">
      <c r="B30" s="28"/>
      <c r="J30" s="29"/>
      <c r="P30" s="41"/>
      <c r="Q30" s="41"/>
      <c r="S30" s="30">
        <v>46090</v>
      </c>
      <c r="T30" s="14" t="str">
        <v>Muay thai w Syanne + Ron + sunny hinge</v>
      </c>
      <c r="U30" s="14">
        <v>2</v>
      </c>
      <c r="V30" s="31">
        <v>6183</v>
      </c>
      <c r="W30" s="31">
        <v>19591</v>
      </c>
      <c r="X30" s="31">
        <v>1031</v>
      </c>
      <c r="Y30" s="32">
        <v>13.1</v>
      </c>
      <c r="Z30" s="33">
        <v>0.52500000000000002</v>
      </c>
      <c r="AA30" s="29" t="str">
        <v>Great times</v>
      </c>
      <c r="AJ30" s="30"/>
      <c r="AM30" s="31"/>
      <c r="AN30" s="31"/>
      <c r="AO30" s="31"/>
      <c r="AP30" s="32"/>
      <c r="AQ30" s="33"/>
      <c r="AR30" s="29"/>
      <c r="BA30" s="30"/>
      <c r="BD30" s="31"/>
      <c r="BE30" s="31"/>
      <c r="BF30" s="31"/>
      <c r="BG30" s="32"/>
      <c r="BH30" s="33"/>
      <c r="BI30" s="29"/>
      <c r="BR30" s="30">
        <v>46115</v>
      </c>
      <c r="BS30" s="14" t="str">
        <v>OSCS balesh day</v>
      </c>
      <c r="BT30" s="14">
        <v>5</v>
      </c>
      <c r="BU30" s="31">
        <v>3934</v>
      </c>
      <c r="BV30" s="31">
        <v>5268</v>
      </c>
      <c r="BW30" s="31">
        <v>278</v>
      </c>
      <c r="BX30" s="32">
        <v>12.1</v>
      </c>
      <c r="BY30" s="33">
        <v>0.47986111111111113</v>
      </c>
      <c r="BZ30" s="29" t="str">
        <v>Great times</v>
      </c>
      <c r="CI30" s="30"/>
      <c r="CL30" s="31"/>
      <c r="CM30" s="31"/>
      <c r="CN30" s="31"/>
      <c r="CO30" s="32"/>
      <c r="CP30" s="33"/>
      <c r="CQ30" s="29"/>
      <c r="CZ30" s="30"/>
      <c r="DC30" s="31"/>
      <c r="DD30" s="31"/>
      <c r="DE30" s="31"/>
      <c r="DF30" s="32"/>
      <c r="DG30" s="33"/>
      <c r="DH30" s="29"/>
      <c r="DQ30" s="30"/>
      <c r="DT30" s="31"/>
      <c r="DU30" s="31"/>
      <c r="DV30" s="31"/>
      <c r="DW30" s="32"/>
      <c r="DX30" s="33"/>
      <c r="DY30" s="29"/>
    </row>
    <row r="31" spans="2:132" x14ac:dyDescent="0.2">
      <c r="B31" s="26"/>
      <c r="D31"/>
      <c r="E31"/>
      <c r="F31"/>
      <c r="G31"/>
      <c r="I31"/>
      <c r="S31" s="22">
        <v>46095</v>
      </c>
      <c r="T31" t="str">
        <v>OSCS day w Ron + joe bro v bro</v>
      </c>
      <c r="U31">
        <v>2</v>
      </c>
      <c r="V31" s="5">
        <v>4188</v>
      </c>
      <c r="W31" s="5">
        <v>6352</v>
      </c>
      <c r="X31" s="5">
        <v>586</v>
      </c>
      <c r="Y31" s="3">
        <v>12.3</v>
      </c>
      <c r="Z31" s="6">
        <v>0.48194444444444445</v>
      </c>
      <c r="AA31" s="8" t="str">
        <v>Great times</v>
      </c>
      <c r="BR31" s="22">
        <v>46121</v>
      </c>
      <c r="BS31" t="str">
        <v>OSCS podcast w wakewilder</v>
      </c>
      <c r="BT31">
        <v>5</v>
      </c>
      <c r="BU31" s="5">
        <v>4938</v>
      </c>
      <c r="BV31" s="5">
        <v>6537</v>
      </c>
      <c r="BW31" s="5">
        <v>213</v>
      </c>
      <c r="BX31" s="3">
        <v>9.4</v>
      </c>
      <c r="BY31" s="6">
        <v>0.72152777777777777</v>
      </c>
      <c r="BZ31" s="8" t="str">
        <v>Good times</v>
      </c>
    </row>
    <row r="32" spans="2:132" x14ac:dyDescent="0.2">
      <c r="B32" s="26"/>
      <c r="C32" s="1"/>
      <c r="D32" s="1"/>
      <c r="E32" s="1"/>
      <c r="F32" s="1"/>
      <c r="G32" s="1"/>
      <c r="H32" s="1"/>
      <c r="I32" s="1"/>
      <c r="J32" s="24"/>
      <c r="S32" s="22">
        <v>46100</v>
      </c>
      <c r="T32" t="str">
        <v>OSCS day w Yonna &amp; Ray + Sunny 20v1</v>
      </c>
      <c r="U32">
        <v>2</v>
      </c>
      <c r="V32" s="5">
        <v>6477</v>
      </c>
      <c r="W32" s="5">
        <v>9402</v>
      </c>
      <c r="X32" s="5">
        <v>1008</v>
      </c>
      <c r="Y32" s="3">
        <v>13.5</v>
      </c>
      <c r="Z32" s="6">
        <v>0.61458333333333337</v>
      </c>
      <c r="AA32" s="8" t="str">
        <v>Prime hours</v>
      </c>
      <c r="BR32" s="22">
        <v>46131</v>
      </c>
      <c r="BS32" t="str">
        <v>Desktop + Sunday league soccer</v>
      </c>
      <c r="BT32">
        <v>5</v>
      </c>
      <c r="BU32" s="5">
        <v>4827</v>
      </c>
      <c r="BV32" s="5">
        <v>6128</v>
      </c>
      <c r="BW32" s="5">
        <v>184</v>
      </c>
      <c r="BX32" s="3">
        <v>6.2</v>
      </c>
      <c r="BY32" s="6">
        <v>0.81944444444444442</v>
      </c>
      <c r="BZ32" s="8" t="str">
        <v>Good times</v>
      </c>
    </row>
    <row r="33" spans="4:27" x14ac:dyDescent="0.2">
      <c r="D33"/>
      <c r="E33" s="25"/>
      <c r="F33" s="25"/>
      <c r="G33" s="25"/>
      <c r="S33" s="22">
        <v>46119</v>
      </c>
      <c r="T33" t="str">
        <v>Doug Doug 1v1 w Katchi + balesh</v>
      </c>
      <c r="U33">
        <v>2</v>
      </c>
      <c r="V33" s="5">
        <v>5597</v>
      </c>
      <c r="W33" s="5">
        <v>8984</v>
      </c>
      <c r="X33" s="5">
        <v>661</v>
      </c>
      <c r="Y33" s="3">
        <v>13.7</v>
      </c>
      <c r="Z33" s="6">
        <v>0.50972222222222219</v>
      </c>
      <c r="AA33" s="8" t="str">
        <v>Great times</v>
      </c>
    </row>
    <row r="34" spans="4:27" x14ac:dyDescent="0.2">
      <c r="D34"/>
      <c r="E34" s="25"/>
      <c r="F34" s="25"/>
      <c r="G34" s="25"/>
      <c r="S34" s="22">
        <v>46122</v>
      </c>
      <c r="T34" t="str">
        <v>2v2 w Yamfam v Lemon &amp; Zugoi</v>
      </c>
      <c r="U34">
        <v>2</v>
      </c>
      <c r="V34" s="5">
        <v>3540</v>
      </c>
      <c r="W34" s="5">
        <v>4681</v>
      </c>
      <c r="X34" s="5">
        <v>255</v>
      </c>
      <c r="Y34" s="3">
        <v>12.6</v>
      </c>
      <c r="Z34" s="6">
        <v>0.60833333333333328</v>
      </c>
      <c r="AA34" s="8" t="str">
        <v>Prime hours</v>
      </c>
    </row>
    <row r="35" spans="4:27" x14ac:dyDescent="0.2">
      <c r="D35"/>
      <c r="E35" s="25"/>
      <c r="F35" s="25"/>
      <c r="G35" s="25"/>
      <c r="S35" s="22">
        <v>46123</v>
      </c>
      <c r="T35" t="str">
        <v>OSCS day w ExtraEmily</v>
      </c>
      <c r="U35">
        <v>2</v>
      </c>
      <c r="V35" s="5">
        <v>5434</v>
      </c>
      <c r="W35" s="5">
        <v>7552</v>
      </c>
      <c r="X35" s="5">
        <v>442</v>
      </c>
      <c r="Y35" s="3">
        <v>13.6</v>
      </c>
      <c r="Z35" s="6">
        <v>0.53472222222222221</v>
      </c>
      <c r="AA35" s="8" t="str">
        <v>Great times</v>
      </c>
    </row>
    <row r="36" spans="4:27" x14ac:dyDescent="0.2">
      <c r="D36"/>
      <c r="E36" s="25"/>
      <c r="F36" s="25"/>
      <c r="G36" s="25"/>
      <c r="S36" s="22">
        <v>46127</v>
      </c>
      <c r="T36" t="str">
        <v>Games and reacts w Yonna</v>
      </c>
      <c r="U36">
        <v>2</v>
      </c>
      <c r="V36" s="5">
        <v>5408</v>
      </c>
      <c r="W36" s="5">
        <v>8813</v>
      </c>
      <c r="X36" s="5">
        <v>562</v>
      </c>
      <c r="Y36" s="3">
        <v>11</v>
      </c>
      <c r="Z36" s="6">
        <v>0.75277777777777777</v>
      </c>
      <c r="AA36" s="8" t="str">
        <v>Good times</v>
      </c>
    </row>
    <row r="37" spans="4:27" x14ac:dyDescent="0.2">
      <c r="D37"/>
      <c r="E37" s="25"/>
      <c r="F37" s="25"/>
      <c r="G37" s="25"/>
      <c r="S37" s="22">
        <v>46132</v>
      </c>
      <c r="T37" t="str">
        <v>IRL LA Bingo w yusuf &amp; max</v>
      </c>
      <c r="U37">
        <v>2</v>
      </c>
      <c r="V37" s="5">
        <v>4353</v>
      </c>
      <c r="W37" s="5">
        <v>6604</v>
      </c>
      <c r="X37" s="5">
        <v>268</v>
      </c>
      <c r="Y37" s="3">
        <v>10.4</v>
      </c>
      <c r="Z37" s="6">
        <v>0.66527777777777775</v>
      </c>
      <c r="AA37" s="8" t="str">
        <v>Prime hours</v>
      </c>
    </row>
    <row r="38" spans="4:27" x14ac:dyDescent="0.2">
      <c r="D38"/>
      <c r="E38" s="25"/>
      <c r="F38" s="25"/>
      <c r="G38" s="25"/>
      <c r="S38" s="22">
        <v>46135</v>
      </c>
      <c r="T38" t="str">
        <v>Impractical jokers w yusuf, 24, &amp; guapo</v>
      </c>
      <c r="U38">
        <v>2</v>
      </c>
      <c r="V38" s="5">
        <v>4659</v>
      </c>
      <c r="W38" s="5">
        <v>5499</v>
      </c>
      <c r="X38" s="5">
        <v>369</v>
      </c>
      <c r="Y38" s="3">
        <v>11.5</v>
      </c>
      <c r="Z38" s="6">
        <v>0.56666666666666665</v>
      </c>
      <c r="AA38" s="8" t="str">
        <v>Great times</v>
      </c>
    </row>
    <row r="39" spans="4:27" x14ac:dyDescent="0.2">
      <c r="D39"/>
      <c r="E39" s="25"/>
      <c r="F39" s="25"/>
      <c r="G39" s="25"/>
      <c r="S39" s="22">
        <v>46142</v>
      </c>
      <c r="T39" t="str">
        <v>Arky + Yonna balesh</v>
      </c>
      <c r="U39">
        <v>2</v>
      </c>
      <c r="V39" s="5">
        <v>4514</v>
      </c>
      <c r="W39" s="5">
        <v>6003</v>
      </c>
      <c r="X39" s="5">
        <v>325</v>
      </c>
      <c r="Y39" s="3">
        <v>7.4</v>
      </c>
      <c r="Z39" s="6">
        <v>0.5708333333333333</v>
      </c>
      <c r="AA39" s="8" t="str">
        <v>Great times</v>
      </c>
    </row>
    <row r="40" spans="4:27" x14ac:dyDescent="0.2">
      <c r="D40"/>
      <c r="E40" s="25"/>
      <c r="F40" s="25"/>
      <c r="G40" s="25"/>
    </row>
    <row r="41" spans="4:27" x14ac:dyDescent="0.2">
      <c r="D41"/>
      <c r="E41" s="25"/>
      <c r="F41" s="25"/>
      <c r="G41" s="25"/>
    </row>
    <row r="42" spans="4:27" x14ac:dyDescent="0.2">
      <c r="D42"/>
      <c r="E42" s="25"/>
      <c r="F42" s="25"/>
      <c r="G42" s="25"/>
    </row>
  </sheetData>
  <conditionalFormatting sqref="E6:E17"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">
      <colorScale>
        <cfvo type="min"/>
        <cfvo type="max"/>
        <color rgb="FFFCFCFF"/>
        <color rgb="FF63BE7B"/>
      </colorScale>
    </cfRule>
  </conditionalFormatting>
  <conditionalFormatting sqref="E6:E1048576">
    <cfRule type="colorScale" priority="44">
      <colorScale>
        <cfvo type="min"/>
        <cfvo type="max"/>
        <color rgb="FFFCFCFF"/>
        <color rgb="FF63BE7B"/>
      </colorScale>
    </cfRule>
  </conditionalFormatting>
  <conditionalFormatting sqref="E33:E42">
    <cfRule type="colorScale" priority="144">
      <colorScale>
        <cfvo type="min"/>
        <cfvo type="max"/>
        <color rgb="FFFCFCFF"/>
        <color rgb="FF63BE7B"/>
      </colorScale>
    </cfRule>
  </conditionalFormatting>
  <conditionalFormatting sqref="F6:F17"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3:F42"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:G17"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3:G42"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:H17">
    <cfRule type="dataBar" priority="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{17E47F3A-8561-45EC-B37F-309018B84D4B}</x14:id>
        </ext>
      </extLst>
    </cfRule>
  </conditionalFormatting>
  <conditionalFormatting sqref="J6:J1048576">
    <cfRule type="containsText" dxfId="80" priority="140" operator="containsText" text="Prime hours">
      <formula>NOT(ISERROR(SEARCH("Prime hours",J6)))</formula>
    </cfRule>
    <cfRule type="containsText" dxfId="79" priority="139" operator="containsText" text="Good times">
      <formula>NOT(ISERROR(SEARCH("Good times",J6)))</formula>
    </cfRule>
    <cfRule type="containsText" dxfId="78" priority="138" operator="containsText" text="Great times">
      <formula>NOT(ISERROR(SEARCH("Great times",J6)))</formula>
    </cfRule>
    <cfRule type="containsText" dxfId="77" priority="135" operator="containsText" text="late-night">
      <formula>NOT(ISERROR(SEARCH("late-night",J6)))</formula>
    </cfRule>
    <cfRule type="containsText" dxfId="76" priority="137" operator="containsText" text="Late-night">
      <formula>NOT(ISERROR(SEARCH("Late-night",J6)))</formula>
    </cfRule>
    <cfRule type="containsText" dxfId="75" priority="136" operator="containsText" text="GG EST mfs">
      <formula>NOT(ISERROR(SEARCH("GG EST mfs",J6)))</formula>
    </cfRule>
    <cfRule type="containsText" dxfId="74" priority="133" operator="containsText" text="Lol">
      <formula>NOT(ISERROR(SEARCH("Lol",J6)))</formula>
    </cfRule>
    <cfRule type="containsText" dxfId="73" priority="132" operator="containsText" text="Early asf">
      <formula>NOT(ISERROR(SEARCH("Early asf",J6)))</formula>
    </cfRule>
    <cfRule type="containsText" dxfId="72" priority="134" operator="containsText" text="Keys">
      <formula>NOT(ISERROR(SEARCH("Keys",J6)))</formula>
    </cfRule>
  </conditionalFormatting>
  <conditionalFormatting sqref="J6:XFD6 J7:P7 R7:AG7 AI7:AX7 AZ7:BO7 BQ7:CF7 CH7:CW7 CY7:DN7 DP7:EE7 EG7:XFD7 J8:XFD1048576">
    <cfRule type="containsText" dxfId="71" priority="4" operator="containsText" text="Lol">
      <formula>NOT(ISERROR(SEARCH("Lol",J6)))</formula>
    </cfRule>
    <cfRule type="containsText" dxfId="70" priority="5" operator="containsText" text="KeYS">
      <formula>NOT(ISERROR(SEARCH("KeYS",J6)))</formula>
    </cfRule>
    <cfRule type="containsText" dxfId="69" priority="6" operator="containsText" text="Lol">
      <formula>NOT(ISERROR(SEARCH("Lol",J6)))</formula>
    </cfRule>
    <cfRule type="containsText" dxfId="68" priority="7" operator="containsText" text="GG EST Mfs">
      <formula>NOT(ISERROR(SEARCH("GG EST Mfs",J6)))</formula>
    </cfRule>
    <cfRule type="containsText" dxfId="67" priority="8" operator="containsText" text="Early asf">
      <formula>NOT(ISERROR(SEARCH("Early asf",J6)))</formula>
    </cfRule>
    <cfRule type="containsText" dxfId="66" priority="9" operator="containsText" text="Late-night">
      <formula>NOT(ISERROR(SEARCH("Late-night",J6)))</formula>
    </cfRule>
    <cfRule type="containsText" dxfId="65" priority="11" operator="containsText" text="Great times">
      <formula>NOT(ISERROR(SEARCH("Great times",J6)))</formula>
    </cfRule>
    <cfRule type="containsText" dxfId="64" priority="12" operator="containsText" text="Prime hours">
      <formula>NOT(ISERROR(SEARCH("Prime hours",J6)))</formula>
    </cfRule>
    <cfRule type="containsText" dxfId="63" priority="10" operator="containsText" text="Good times">
      <formula>NOT(ISERROR(SEARCH("Good times",J6)))</formula>
    </cfRule>
  </conditionalFormatting>
  <conditionalFormatting sqref="V6:V1048576">
    <cfRule type="colorScale" priority="43">
      <colorScale>
        <cfvo type="min"/>
        <cfvo type="max"/>
        <color rgb="FFFCFCFF"/>
        <color rgb="FF63BE7B"/>
      </colorScale>
    </cfRule>
  </conditionalFormatting>
  <conditionalFormatting sqref="W6:W1048576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:X1048576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:Y1048576">
    <cfRule type="dataBar" priority="3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{5639C7A8-470F-4270-8850-788E437DC35B}</x14:id>
        </ext>
      </extLst>
    </cfRule>
  </conditionalFormatting>
  <conditionalFormatting sqref="AA5">
    <cfRule type="containsText" dxfId="62" priority="107" operator="containsText" text="Prime hours">
      <formula>NOT(ISERROR(SEARCH("Prime hours",AA5)))</formula>
    </cfRule>
    <cfRule type="containsText" dxfId="61" priority="106" operator="containsText" text="Good times">
      <formula>NOT(ISERROR(SEARCH("Good times",AA5)))</formula>
    </cfRule>
    <cfRule type="containsText" dxfId="60" priority="105" operator="containsText" text="Great times">
      <formula>NOT(ISERROR(SEARCH("Great times",AA5)))</formula>
    </cfRule>
    <cfRule type="containsText" dxfId="59" priority="104" operator="containsText" text="Late-night">
      <formula>NOT(ISERROR(SEARCH("Late-night",AA5)))</formula>
    </cfRule>
    <cfRule type="containsText" dxfId="58" priority="103" operator="containsText" text="GG EST mfs">
      <formula>NOT(ISERROR(SEARCH("GG EST mfs",AA5)))</formula>
    </cfRule>
    <cfRule type="containsText" dxfId="57" priority="102" operator="containsText" text="late-night">
      <formula>NOT(ISERROR(SEARCH("late-night",AA5)))</formula>
    </cfRule>
    <cfRule type="containsText" dxfId="56" priority="101" operator="containsText" text="Keys">
      <formula>NOT(ISERROR(SEARCH("Keys",AA5)))</formula>
    </cfRule>
    <cfRule type="containsText" dxfId="55" priority="100" operator="containsText" text="Lol">
      <formula>NOT(ISERROR(SEARCH("Lol",AA5)))</formula>
    </cfRule>
    <cfRule type="containsText" dxfId="54" priority="99" operator="containsText" text="Early asf">
      <formula>NOT(ISERROR(SEARCH("Early asf",AA5)))</formula>
    </cfRule>
  </conditionalFormatting>
  <conditionalFormatting sqref="AM6:AM1048576">
    <cfRule type="colorScale" priority="37">
      <colorScale>
        <cfvo type="min"/>
        <cfvo type="max"/>
        <color rgb="FFFCFCFF"/>
        <color rgb="FF63BE7B"/>
      </colorScale>
    </cfRule>
  </conditionalFormatting>
  <conditionalFormatting sqref="AN6:AN1048576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O6:AO1048576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6:AP1048576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{27FF26CE-7069-44D7-9DB8-97DCFDEF9A3F}</x14:id>
        </ext>
      </extLst>
    </cfRule>
  </conditionalFormatting>
  <conditionalFormatting sqref="AR5">
    <cfRule type="containsText" dxfId="53" priority="95" operator="containsText" text="Late-night">
      <formula>NOT(ISERROR(SEARCH("Late-night",AR5)))</formula>
    </cfRule>
    <cfRule type="containsText" dxfId="52" priority="91" operator="containsText" text="Lol">
      <formula>NOT(ISERROR(SEARCH("Lol",AR5)))</formula>
    </cfRule>
    <cfRule type="containsText" dxfId="51" priority="90" operator="containsText" text="Early asf">
      <formula>NOT(ISERROR(SEARCH("Early asf",AR5)))</formula>
    </cfRule>
    <cfRule type="containsText" dxfId="50" priority="92" operator="containsText" text="Keys">
      <formula>NOT(ISERROR(SEARCH("Keys",AR5)))</formula>
    </cfRule>
    <cfRule type="containsText" dxfId="49" priority="93" operator="containsText" text="late-night">
      <formula>NOT(ISERROR(SEARCH("late-night",AR5)))</formula>
    </cfRule>
    <cfRule type="containsText" dxfId="48" priority="94" operator="containsText" text="GG EST mfs">
      <formula>NOT(ISERROR(SEARCH("GG EST mfs",AR5)))</formula>
    </cfRule>
    <cfRule type="containsText" dxfId="47" priority="98" operator="containsText" text="Prime hours">
      <formula>NOT(ISERROR(SEARCH("Prime hours",AR5)))</formula>
    </cfRule>
    <cfRule type="containsText" dxfId="46" priority="97" operator="containsText" text="Good times">
      <formula>NOT(ISERROR(SEARCH("Good times",AR5)))</formula>
    </cfRule>
    <cfRule type="containsText" dxfId="45" priority="96" operator="containsText" text="Great times">
      <formula>NOT(ISERROR(SEARCH("Great times",AR5)))</formula>
    </cfRule>
  </conditionalFormatting>
  <conditionalFormatting sqref="BD6:BD1048576">
    <cfRule type="colorScale" priority="32">
      <colorScale>
        <cfvo type="min"/>
        <cfvo type="max"/>
        <color rgb="FFFCFCFF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E6:BE1048576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F6:BF1048576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G6:BG1048576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{77D5B2F6-7ADA-4D05-9703-F3F3897BFFB1}</x14:id>
        </ext>
      </extLst>
    </cfRule>
  </conditionalFormatting>
  <conditionalFormatting sqref="BI5">
    <cfRule type="containsText" dxfId="44" priority="88" operator="containsText" text="Good times">
      <formula>NOT(ISERROR(SEARCH("Good times",BI5)))</formula>
    </cfRule>
    <cfRule type="containsText" dxfId="43" priority="87" operator="containsText" text="Great times">
      <formula>NOT(ISERROR(SEARCH("Great times",BI5)))</formula>
    </cfRule>
    <cfRule type="containsText" dxfId="42" priority="86" operator="containsText" text="Late-night">
      <formula>NOT(ISERROR(SEARCH("Late-night",BI5)))</formula>
    </cfRule>
    <cfRule type="containsText" dxfId="41" priority="85" operator="containsText" text="GG EST mfs">
      <formula>NOT(ISERROR(SEARCH("GG EST mfs",BI5)))</formula>
    </cfRule>
    <cfRule type="containsText" dxfId="40" priority="84" operator="containsText" text="late-night">
      <formula>NOT(ISERROR(SEARCH("late-night",BI5)))</formula>
    </cfRule>
    <cfRule type="containsText" dxfId="39" priority="83" operator="containsText" text="Keys">
      <formula>NOT(ISERROR(SEARCH("Keys",BI5)))</formula>
    </cfRule>
    <cfRule type="containsText" dxfId="38" priority="82" operator="containsText" text="Lol">
      <formula>NOT(ISERROR(SEARCH("Lol",BI5)))</formula>
    </cfRule>
    <cfRule type="containsText" dxfId="37" priority="81" operator="containsText" text="Early asf">
      <formula>NOT(ISERROR(SEARCH("Early asf",BI5)))</formula>
    </cfRule>
    <cfRule type="containsText" dxfId="36" priority="89" operator="containsText" text="Prime hours">
      <formula>NOT(ISERROR(SEARCH("Prime hours",BI5)))</formula>
    </cfRule>
  </conditionalFormatting>
  <conditionalFormatting sqref="BU6:BU1048576">
    <cfRule type="colorScale" priority="28">
      <colorScale>
        <cfvo type="min"/>
        <cfvo type="max"/>
        <color rgb="FFFCFCFF"/>
        <color rgb="FF63BE7B"/>
      </colorScale>
    </cfRule>
  </conditionalFormatting>
  <conditionalFormatting sqref="BV6:BV1048576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:BW1048576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6:BX1048576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{E71E3BF9-22E5-4F7F-926E-39CA12E41576}</x14:id>
        </ext>
      </extLst>
    </cfRule>
  </conditionalFormatting>
  <conditionalFormatting sqref="BZ5:CA5">
    <cfRule type="containsText" dxfId="35" priority="74" operator="containsText" text="Keys">
      <formula>NOT(ISERROR(SEARCH("Keys",BZ5)))</formula>
    </cfRule>
    <cfRule type="containsText" dxfId="34" priority="75" operator="containsText" text="late-night">
      <formula>NOT(ISERROR(SEARCH("late-night",BZ5)))</formula>
    </cfRule>
    <cfRule type="containsText" dxfId="33" priority="77" operator="containsText" text="Late-night">
      <formula>NOT(ISERROR(SEARCH("Late-night",BZ5)))</formula>
    </cfRule>
    <cfRule type="containsText" dxfId="32" priority="79" operator="containsText" text="Good times">
      <formula>NOT(ISERROR(SEARCH("Good times",BZ5)))</formula>
    </cfRule>
    <cfRule type="containsText" dxfId="31" priority="80" operator="containsText" text="Prime hours">
      <formula>NOT(ISERROR(SEARCH("Prime hours",BZ5)))</formula>
    </cfRule>
    <cfRule type="containsText" dxfId="30" priority="76" operator="containsText" text="GG EST mfs">
      <formula>NOT(ISERROR(SEARCH("GG EST mfs",BZ5)))</formula>
    </cfRule>
    <cfRule type="containsText" dxfId="29" priority="78" operator="containsText" text="Great times">
      <formula>NOT(ISERROR(SEARCH("Great times",BZ5)))</formula>
    </cfRule>
    <cfRule type="containsText" dxfId="28" priority="72" operator="containsText" text="Early asf">
      <formula>NOT(ISERROR(SEARCH("Early asf",BZ5)))</formula>
    </cfRule>
    <cfRule type="containsText" dxfId="27" priority="73" operator="containsText" text="Lol">
      <formula>NOT(ISERROR(SEARCH("Lol",BZ5)))</formula>
    </cfRule>
  </conditionalFormatting>
  <conditionalFormatting sqref="CL6:CL1048576">
    <cfRule type="colorScale" priority="24">
      <colorScale>
        <cfvo type="min"/>
        <cfvo type="max"/>
        <color rgb="FFFCFCFF"/>
        <color rgb="FF63BE7B"/>
      </colorScale>
    </cfRule>
  </conditionalFormatting>
  <conditionalFormatting sqref="CM6:CM1048576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N6:CN104857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O6:CO1048576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{99B4CFE5-DD32-47E4-A07A-1A847689848A}</x14:id>
        </ext>
      </extLst>
    </cfRule>
  </conditionalFormatting>
  <conditionalFormatting sqref="CQ3:CQ5">
    <cfRule type="containsText" dxfId="26" priority="68" operator="containsText" text="Late-night">
      <formula>NOT(ISERROR(SEARCH("Late-night",CQ3)))</formula>
    </cfRule>
    <cfRule type="containsText" dxfId="25" priority="67" operator="containsText" text="GG EST mfs">
      <formula>NOT(ISERROR(SEARCH("GG EST mfs",CQ3)))</formula>
    </cfRule>
    <cfRule type="containsText" dxfId="24" priority="66" operator="containsText" text="late-night">
      <formula>NOT(ISERROR(SEARCH("late-night",CQ3)))</formula>
    </cfRule>
    <cfRule type="containsText" dxfId="23" priority="65" operator="containsText" text="Keys">
      <formula>NOT(ISERROR(SEARCH("Keys",CQ3)))</formula>
    </cfRule>
    <cfRule type="containsText" dxfId="22" priority="64" operator="containsText" text="Lol">
      <formula>NOT(ISERROR(SEARCH("Lol",CQ3)))</formula>
    </cfRule>
    <cfRule type="containsText" dxfId="21" priority="63" operator="containsText" text="Early asf">
      <formula>NOT(ISERROR(SEARCH("Early asf",CQ3)))</formula>
    </cfRule>
    <cfRule type="containsText" dxfId="20" priority="71" operator="containsText" text="Prime hours">
      <formula>NOT(ISERROR(SEARCH("Prime hours",CQ3)))</formula>
    </cfRule>
    <cfRule type="containsText" dxfId="19" priority="70" operator="containsText" text="Good times">
      <formula>NOT(ISERROR(SEARCH("Good times",CQ3)))</formula>
    </cfRule>
    <cfRule type="containsText" dxfId="18" priority="69" operator="containsText" text="Great times">
      <formula>NOT(ISERROR(SEARCH("Great times",CQ3)))</formula>
    </cfRule>
  </conditionalFormatting>
  <conditionalFormatting sqref="DC6:DC1048576">
    <cfRule type="colorScale" priority="20">
      <colorScale>
        <cfvo type="min"/>
        <cfvo type="max"/>
        <color rgb="FFFCFCFF"/>
        <color rgb="FF63BE7B"/>
      </colorScale>
    </cfRule>
  </conditionalFormatting>
  <conditionalFormatting sqref="DD6:DD1048576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E6:DE1048576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F6:DF1048576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{5B46387E-C1A6-4863-8238-3B3147AD1A5F}</x14:id>
        </ext>
      </extLst>
    </cfRule>
  </conditionalFormatting>
  <conditionalFormatting sqref="DH3:DH5">
    <cfRule type="containsText" dxfId="17" priority="62" operator="containsText" text="Prime hours">
      <formula>NOT(ISERROR(SEARCH("Prime hours",DH3)))</formula>
    </cfRule>
    <cfRule type="containsText" dxfId="16" priority="61" operator="containsText" text="Good times">
      <formula>NOT(ISERROR(SEARCH("Good times",DH3)))</formula>
    </cfRule>
    <cfRule type="containsText" dxfId="15" priority="60" operator="containsText" text="Great times">
      <formula>NOT(ISERROR(SEARCH("Great times",DH3)))</formula>
    </cfRule>
    <cfRule type="containsText" dxfId="14" priority="59" operator="containsText" text="Late-night">
      <formula>NOT(ISERROR(SEARCH("Late-night",DH3)))</formula>
    </cfRule>
    <cfRule type="containsText" dxfId="13" priority="58" operator="containsText" text="GG EST mfs">
      <formula>NOT(ISERROR(SEARCH("GG EST mfs",DH3)))</formula>
    </cfRule>
    <cfRule type="containsText" dxfId="12" priority="57" operator="containsText" text="late-night">
      <formula>NOT(ISERROR(SEARCH("late-night",DH3)))</formula>
    </cfRule>
    <cfRule type="containsText" dxfId="11" priority="56" operator="containsText" text="Keys">
      <formula>NOT(ISERROR(SEARCH("Keys",DH3)))</formula>
    </cfRule>
    <cfRule type="containsText" dxfId="10" priority="55" operator="containsText" text="Lol">
      <formula>NOT(ISERROR(SEARCH("Lol",DH3)))</formula>
    </cfRule>
    <cfRule type="containsText" dxfId="9" priority="54" operator="containsText" text="Early asf">
      <formula>NOT(ISERROR(SEARCH("Early asf",DH3)))</formula>
    </cfRule>
  </conditionalFormatting>
  <conditionalFormatting sqref="DT6:DT1048576">
    <cfRule type="colorScale" priority="16">
      <colorScale>
        <cfvo type="min"/>
        <cfvo type="max"/>
        <color rgb="FFFCFCFF"/>
        <color rgb="FF63BE7B"/>
      </colorScale>
    </cfRule>
  </conditionalFormatting>
  <conditionalFormatting sqref="DU6:DU1048576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V6:DV1048576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W6:DW1048576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{3D311B53-38C2-4E1A-B3F2-2E1BD1141D58}</x14:id>
        </ext>
      </extLst>
    </cfRule>
  </conditionalFormatting>
  <conditionalFormatting sqref="DY3:DY5">
    <cfRule type="containsText" dxfId="8" priority="53" operator="containsText" text="Prime hours">
      <formula>NOT(ISERROR(SEARCH("Prime hours",DY3)))</formula>
    </cfRule>
    <cfRule type="containsText" dxfId="7" priority="52" operator="containsText" text="Good times">
      <formula>NOT(ISERROR(SEARCH("Good times",DY3)))</formula>
    </cfRule>
    <cfRule type="containsText" dxfId="6" priority="51" operator="containsText" text="Great times">
      <formula>NOT(ISERROR(SEARCH("Great times",DY3)))</formula>
    </cfRule>
    <cfRule type="containsText" dxfId="5" priority="49" operator="containsText" text="GG EST mfs">
      <formula>NOT(ISERROR(SEARCH("GG EST mfs",DY3)))</formula>
    </cfRule>
    <cfRule type="containsText" dxfId="4" priority="48" operator="containsText" text="late-night">
      <formula>NOT(ISERROR(SEARCH("late-night",DY3)))</formula>
    </cfRule>
    <cfRule type="containsText" dxfId="3" priority="47" operator="containsText" text="Keys">
      <formula>NOT(ISERROR(SEARCH("Keys",DY3)))</formula>
    </cfRule>
    <cfRule type="containsText" dxfId="2" priority="50" operator="containsText" text="Late-night">
      <formula>NOT(ISERROR(SEARCH("Late-night",DY3)))</formula>
    </cfRule>
    <cfRule type="containsText" dxfId="1" priority="45" operator="containsText" text="Early asf">
      <formula>NOT(ISERROR(SEARCH("Early asf",DY3)))</formula>
    </cfRule>
    <cfRule type="containsText" dxfId="0" priority="46" operator="containsText" text="Lol">
      <formula>NOT(ISERROR(SEARCH("Lol",DY3)))</formula>
    </cfRule>
  </conditionalFormatting>
  <conditionalFormatting sqref="H6:H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{F2406429-052C-4E2A-B2DF-A628F145E280}</x14:id>
        </ext>
      </extLst>
    </cfRule>
  </conditionalFormatting>
  <conditionalFormatting sqref="F6:F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:G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E47F3A-8561-45EC-B37F-309018B84D4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H6:H17</xm:sqref>
        </x14:conditionalFormatting>
        <x14:conditionalFormatting xmlns:xm="http://schemas.microsoft.com/office/excel/2006/main">
          <x14:cfRule type="dataBar" id="{5639C7A8-470F-4270-8850-788E437DC35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Y6:Y1048576</xm:sqref>
        </x14:conditionalFormatting>
        <x14:conditionalFormatting xmlns:xm="http://schemas.microsoft.com/office/excel/2006/main">
          <x14:cfRule type="dataBar" id="{27FF26CE-7069-44D7-9DB8-97DCFDEF9A3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AP6:AP1048576</xm:sqref>
        </x14:conditionalFormatting>
        <x14:conditionalFormatting xmlns:xm="http://schemas.microsoft.com/office/excel/2006/main">
          <x14:cfRule type="dataBar" id="{77D5B2F6-7ADA-4D05-9703-F3F3897BFFB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BG6:BG1048576</xm:sqref>
        </x14:conditionalFormatting>
        <x14:conditionalFormatting xmlns:xm="http://schemas.microsoft.com/office/excel/2006/main">
          <x14:cfRule type="dataBar" id="{E71E3BF9-22E5-4F7F-926E-39CA12E4157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BX6:BX1048576</xm:sqref>
        </x14:conditionalFormatting>
        <x14:conditionalFormatting xmlns:xm="http://schemas.microsoft.com/office/excel/2006/main">
          <x14:cfRule type="dataBar" id="{99B4CFE5-DD32-47E4-A07A-1A847689848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CO6:CO1048576</xm:sqref>
        </x14:conditionalFormatting>
        <x14:conditionalFormatting xmlns:xm="http://schemas.microsoft.com/office/excel/2006/main">
          <x14:cfRule type="dataBar" id="{5B46387E-C1A6-4863-8238-3B3147AD1A5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DF6:DF1048576</xm:sqref>
        </x14:conditionalFormatting>
        <x14:conditionalFormatting xmlns:xm="http://schemas.microsoft.com/office/excel/2006/main">
          <x14:cfRule type="dataBar" id="{3D311B53-38C2-4E1A-B3F2-2E1BD1141D5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DW6:DW1048576</xm:sqref>
        </x14:conditionalFormatting>
        <x14:conditionalFormatting xmlns:xm="http://schemas.microsoft.com/office/excel/2006/main">
          <x14:cfRule type="dataBar" id="{F2406429-052C-4E2A-B2DF-A628F145E28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61CD-87CC-43F8-A28D-B04D4CAFA321}">
  <dimension ref="C1:O106"/>
  <sheetViews>
    <sheetView zoomScale="125" zoomScaleNormal="125" workbookViewId="0">
      <selection activeCell="K93" sqref="K93"/>
    </sheetView>
  </sheetViews>
  <sheetFormatPr defaultRowHeight="12.75" x14ac:dyDescent="0.2"/>
  <cols>
    <col min="3" max="3" width="20" customWidth="1"/>
    <col min="4" max="4" width="14.85546875" style="3" customWidth="1"/>
    <col min="5" max="6" width="13.7109375" style="5" customWidth="1"/>
    <col min="7" max="11" width="13.7109375" customWidth="1"/>
    <col min="12" max="12" width="15.5703125" customWidth="1"/>
    <col min="13" max="13" width="9.5703125" bestFit="1" customWidth="1"/>
    <col min="14" max="14" width="12" bestFit="1" customWidth="1"/>
  </cols>
  <sheetData>
    <row r="1" spans="3:13" x14ac:dyDescent="0.2">
      <c r="D1"/>
      <c r="E1"/>
      <c r="F1"/>
    </row>
    <row r="2" spans="3:13" x14ac:dyDescent="0.2">
      <c r="D2"/>
      <c r="E2"/>
      <c r="F2"/>
    </row>
    <row r="3" spans="3:13" x14ac:dyDescent="0.2">
      <c r="D3"/>
      <c r="E3"/>
      <c r="F3"/>
    </row>
    <row r="4" spans="3:13" x14ac:dyDescent="0.2">
      <c r="D4"/>
      <c r="E4"/>
      <c r="F4"/>
    </row>
    <row r="5" spans="3:13" ht="18" x14ac:dyDescent="0.25">
      <c r="C5" s="37" t="s">
        <v>180</v>
      </c>
      <c r="D5"/>
      <c r="E5"/>
      <c r="F5"/>
    </row>
    <row r="6" spans="3:13" x14ac:dyDescent="0.2">
      <c r="C6" s="55" t="s">
        <v>140</v>
      </c>
      <c r="D6" s="63" t="s">
        <v>118</v>
      </c>
      <c r="E6" s="63" t="s">
        <v>117</v>
      </c>
      <c r="F6" s="63" t="s">
        <v>121</v>
      </c>
      <c r="G6" s="63" t="s">
        <v>119</v>
      </c>
      <c r="H6" s="63" t="s">
        <v>116</v>
      </c>
      <c r="I6" s="63" t="s">
        <v>126</v>
      </c>
      <c r="J6" s="63" t="s">
        <v>120</v>
      </c>
      <c r="K6" s="63" t="s">
        <v>114</v>
      </c>
      <c r="L6" s="50" t="s">
        <v>136</v>
      </c>
      <c r="M6" s="50" t="s">
        <v>137</v>
      </c>
    </row>
    <row r="7" spans="3:13" x14ac:dyDescent="0.2">
      <c r="C7" s="43" t="s">
        <v>23</v>
      </c>
      <c r="D7" s="5">
        <f>'Concept(s) Analysis Breakdown'!P8</f>
        <v>6507</v>
      </c>
      <c r="E7" s="5">
        <f>'Concept(s) Analysis Breakdown'!P9</f>
        <v>7483</v>
      </c>
      <c r="F7" s="5">
        <f>'Concept(s) Analysis Breakdown'!P10</f>
        <v>3978.2857142857142</v>
      </c>
      <c r="G7" s="5">
        <f>'Concept(s) Analysis Breakdown'!P11</f>
        <v>3496</v>
      </c>
      <c r="H7" s="5">
        <f>IFERROR('Concept(s) Analysis Breakdown'!P12,0)</f>
        <v>0</v>
      </c>
      <c r="I7" s="5">
        <f>IFERROR('Concept(s) Analysis Breakdown'!P13,0)</f>
        <v>6388.666666666667</v>
      </c>
      <c r="J7" s="5">
        <f>IFERROR('Concept(s) Analysis Breakdown'!P14,0)</f>
        <v>0</v>
      </c>
      <c r="K7" s="5">
        <f>IFERROR('Concept(s) Analysis Breakdown'!P15,0)</f>
        <v>0</v>
      </c>
      <c r="L7" s="48" cm="1">
        <f t="array" ref="L7">AVERAGE(IF(D7:K7&gt;0,D7:K7))</f>
        <v>5570.5904761904767</v>
      </c>
      <c r="M7" s="49" cm="1">
        <f t="array" ref="M7">_xlfn.STDEV.S(IF(D7:K7&gt;0,D7:K7))</f>
        <v>1735.1355664001724</v>
      </c>
    </row>
    <row r="8" spans="3:13" x14ac:dyDescent="0.2">
      <c r="C8" s="43" t="s">
        <v>9</v>
      </c>
      <c r="D8" s="5">
        <f>'Concept(s) Analysis Breakdown'!AG8</f>
        <v>4648.083333333333</v>
      </c>
      <c r="E8" s="5">
        <f>'Concept(s) Analysis Breakdown'!AG9</f>
        <v>5326.1428571428569</v>
      </c>
      <c r="F8" s="5">
        <f>'Concept(s) Analysis Breakdown'!AG10</f>
        <v>4906.333333333333</v>
      </c>
      <c r="G8" s="5">
        <f>'Concept(s) Analysis Breakdown'!AG11</f>
        <v>5374</v>
      </c>
      <c r="H8" s="5">
        <f>IFERROR('Concept(s) Analysis Breakdown'!AG12,0)</f>
        <v>0</v>
      </c>
      <c r="I8" s="5">
        <f>IFERROR('Concept(s) Analysis Breakdown'!AG13,0)</f>
        <v>0</v>
      </c>
      <c r="J8" s="5">
        <f>IFERROR('Concept(s) Analysis Breakdown'!AG14,0)</f>
        <v>0</v>
      </c>
      <c r="K8" s="5">
        <f>IFERROR('Concept(s) Analysis Breakdown'!AG15,0)</f>
        <v>0</v>
      </c>
      <c r="L8" s="48" cm="1">
        <f t="array" ref="L8">AVERAGE(IF(D8:K8&gt;0,D8:K8))</f>
        <v>5063.6398809523807</v>
      </c>
      <c r="M8" s="49" cm="1">
        <f t="array" ref="M8">_xlfn.STDEV.S(IF(D8:K8&gt;0,D8:K8))</f>
        <v>347.68942568380174</v>
      </c>
    </row>
    <row r="9" spans="3:13" x14ac:dyDescent="0.2">
      <c r="C9" s="43" t="s">
        <v>3</v>
      </c>
      <c r="D9" s="5">
        <f>'Concept(s) Analysis Breakdown'!AX8</f>
        <v>4553</v>
      </c>
      <c r="E9" s="5">
        <f>IFERROR('Concept(s) Analysis Breakdown'!AX9,0)</f>
        <v>4439.5</v>
      </c>
      <c r="F9" s="5">
        <f>'Concept(s) Analysis Breakdown'!AX10</f>
        <v>4402</v>
      </c>
      <c r="G9" s="5">
        <f>'Concept(s) Analysis Breakdown'!AX11</f>
        <v>6898.333333333333</v>
      </c>
      <c r="H9" s="5">
        <f>IFERROR('Concept(s) Analysis Breakdown'!AX12,0)</f>
        <v>0</v>
      </c>
      <c r="I9" s="5">
        <f>IFERROR('Concept(s) Analysis Breakdown'!AX13,0)</f>
        <v>0</v>
      </c>
      <c r="J9" s="5">
        <f>IFERROR('Concept(s) Analysis Breakdown'!AX14,0)</f>
        <v>0</v>
      </c>
      <c r="K9" s="5">
        <f>IFERROR('Concept(s) Analysis Breakdown'!AX15,0)</f>
        <v>0</v>
      </c>
      <c r="L9" s="48" cm="1">
        <f t="array" ref="L9">AVERAGE(IF(D9:K9&gt;0,D9:K9))</f>
        <v>5073.208333333333</v>
      </c>
      <c r="M9" s="49" cm="1">
        <f t="array" ref="M9">_xlfn.STDEV.S(IF(D9:K9&gt;0,D9:K9))</f>
        <v>1218.4422916394346</v>
      </c>
    </row>
    <row r="10" spans="3:13" x14ac:dyDescent="0.2">
      <c r="C10" s="43" t="s">
        <v>13</v>
      </c>
      <c r="D10" s="5">
        <f>'Concept(s) Analysis Breakdown'!BO8</f>
        <v>7091.5</v>
      </c>
      <c r="E10" s="5">
        <f>'Concept(s) Analysis Breakdown'!BO9</f>
        <v>12243</v>
      </c>
      <c r="F10" s="5">
        <f>'Concept(s) Analysis Breakdown'!BO10</f>
        <v>8204.7999999999993</v>
      </c>
      <c r="G10" s="5">
        <f>'Concept(s) Analysis Breakdown'!BO11</f>
        <v>7726</v>
      </c>
      <c r="H10" s="5">
        <f>'Concept(s) Analysis Breakdown'!BO12</f>
        <v>10685</v>
      </c>
      <c r="I10" s="5">
        <f>IFERROR('Concept(s) Analysis Breakdown'!BO13,0)</f>
        <v>0</v>
      </c>
      <c r="J10" s="5">
        <f>'Concept(s) Analysis Breakdown'!BO14</f>
        <v>6538</v>
      </c>
      <c r="K10" s="5">
        <f>'Concept(s) Analysis Breakdown'!BO15</f>
        <v>5102</v>
      </c>
      <c r="L10" s="48" cm="1">
        <f t="array" ref="L10">AVERAGE(IF(D10:K10&gt;0,D10:K10))</f>
        <v>8227.1857142857152</v>
      </c>
      <c r="M10" s="49" cm="1">
        <f t="array" ref="M10">_xlfn.STDEV.S(IF(D10:K10&gt;0,D10:K10))</f>
        <v>2460.6645392580217</v>
      </c>
    </row>
    <row r="11" spans="3:13" x14ac:dyDescent="0.2">
      <c r="C11" s="43" t="s">
        <v>139</v>
      </c>
      <c r="D11" s="5">
        <f>'Concept(s) Analysis Breakdown'!CF8</f>
        <v>4467.75</v>
      </c>
      <c r="E11" s="5">
        <f>'Concept(s) Analysis Breakdown'!CF9</f>
        <v>4371.1428571428569</v>
      </c>
      <c r="F11" s="5">
        <f>'Concept(s) Analysis Breakdown'!CF10</f>
        <v>5550.636363636364</v>
      </c>
      <c r="G11" s="5">
        <f>'Concept(s) Analysis Breakdown'!CF11</f>
        <v>6045</v>
      </c>
      <c r="H11" s="5">
        <f>IFERROR('Concept(s) Analysis Breakdown'!CF12,0)</f>
        <v>0</v>
      </c>
      <c r="I11" s="5">
        <f>IFERROR('Concept(s) Analysis Breakdown'!CF13,0)</f>
        <v>0</v>
      </c>
      <c r="J11" s="5">
        <f>IFERROR('Concept(s) Analysis Breakdown'!CF14,0)</f>
        <v>0</v>
      </c>
      <c r="K11" s="5">
        <f>IFERROR('Concept(s) Analysis Breakdown'!CF15,0)</f>
        <v>0</v>
      </c>
      <c r="L11" s="48" cm="1">
        <f t="array" ref="L11">AVERAGE(IF(D11:K11&gt;0,D11:K11))</f>
        <v>5108.6323051948057</v>
      </c>
      <c r="M11" s="49" cm="1">
        <f t="array" ref="M11">_xlfn.STDEV.S(IF(D11:K11&gt;0,D11:K11))</f>
        <v>821.94340086029433</v>
      </c>
    </row>
    <row r="12" spans="3:13" x14ac:dyDescent="0.2">
      <c r="C12" s="43" t="s">
        <v>20</v>
      </c>
      <c r="D12" s="5">
        <f>'Concept(s) Analysis Breakdown'!CW8</f>
        <v>5596</v>
      </c>
      <c r="E12" s="5">
        <f>IFERROR('Concept(s) Analysis Breakdown'!CW9,0)</f>
        <v>0</v>
      </c>
      <c r="F12" s="5">
        <f>'Concept(s) Analysis Breakdown'!CW10</f>
        <v>5601</v>
      </c>
      <c r="G12" s="5">
        <f>'Concept(s) Analysis Breakdown'!CW11</f>
        <v>7742</v>
      </c>
      <c r="H12" s="5">
        <f>IFERROR('Concept(s) Analysis Breakdown'!CW12,0)</f>
        <v>0</v>
      </c>
      <c r="I12" s="5">
        <f>'Concept(s) Analysis Breakdown'!CW13</f>
        <v>5016</v>
      </c>
      <c r="J12" s="5">
        <f>IFERROR('Concept(s) Analysis Breakdown'!CW14,0)</f>
        <v>0</v>
      </c>
      <c r="K12" s="5">
        <f>IFERROR('Concept(s) Analysis Breakdown'!CW15,0)</f>
        <v>0</v>
      </c>
      <c r="L12" s="48" cm="1">
        <f t="array" ref="L12">AVERAGE(IF(D12:K12&gt;0,D12:K12))</f>
        <v>5988.75</v>
      </c>
      <c r="M12" s="49" cm="1">
        <f t="array" ref="M12">_xlfn.STDEV.S(IF(D12:K12&gt;0,D12:K12))</f>
        <v>1200.65686882917</v>
      </c>
    </row>
    <row r="13" spans="3:13" x14ac:dyDescent="0.2">
      <c r="C13" s="43" t="s">
        <v>51</v>
      </c>
      <c r="D13" s="5">
        <f>'Concept(s) Analysis Breakdown'!DN8</f>
        <v>5539.166666666667</v>
      </c>
      <c r="E13" s="5">
        <f>'Concept(s) Analysis Breakdown'!DN9</f>
        <v>5450</v>
      </c>
      <c r="F13" s="5">
        <f>'Concept(s) Analysis Breakdown'!DN10</f>
        <v>5296.4</v>
      </c>
      <c r="G13" s="5">
        <f>IFERROR('Concept(s) Analysis Breakdown'!DN11,0)</f>
        <v>0</v>
      </c>
      <c r="H13" s="5">
        <f>IFERROR('Concept(s) Analysis Breakdown'!DN12,0)</f>
        <v>0</v>
      </c>
      <c r="I13" s="5">
        <f>IFERROR('Concept(s) Analysis Breakdown'!DN13,0)</f>
        <v>0</v>
      </c>
      <c r="J13" s="5">
        <f>IFERROR('Concept(s) Analysis Breakdown'!DN14,0)</f>
        <v>0</v>
      </c>
      <c r="K13" s="5">
        <f>'Concept(s) Analysis Breakdown'!DN15</f>
        <v>2351</v>
      </c>
      <c r="L13" s="48" cm="1">
        <f t="array" ref="L13">AVERAGE(IF(D13:K13&gt;0,D13:K13))</f>
        <v>4659.1416666666664</v>
      </c>
      <c r="M13" s="49" cm="1">
        <f t="array" ref="M13">_xlfn.STDEV.S(IF(D13:K13&gt;0,D13:K13))</f>
        <v>1542.0243232877726</v>
      </c>
    </row>
    <row r="14" spans="3:13" x14ac:dyDescent="0.2">
      <c r="C14" s="43" t="s">
        <v>68</v>
      </c>
      <c r="D14" s="5">
        <f>IFERROR('Concept(s) Analysis Breakdown'!EE8,0)</f>
        <v>3992.5</v>
      </c>
      <c r="E14" s="5">
        <f>IFERROR('Concept(s) Analysis Breakdown'!EE9,0)</f>
        <v>0</v>
      </c>
      <c r="F14" s="5">
        <f>IFERROR('Concept(s) Analysis Breakdown'!EE10,0)</f>
        <v>0</v>
      </c>
      <c r="G14" s="5">
        <f>'Concept(s) Analysis Breakdown'!EE11</f>
        <v>5245.5</v>
      </c>
      <c r="H14" s="5">
        <f>IFERROR('Concept(s) Analysis Breakdown'!EE12,0)</f>
        <v>0</v>
      </c>
      <c r="I14" s="5">
        <f>'Concept(s) Analysis Breakdown'!EE13</f>
        <v>5671</v>
      </c>
      <c r="J14" s="5">
        <f>IFERROR('Concept(s) Analysis Breakdown'!EE14,0)</f>
        <v>0</v>
      </c>
      <c r="K14" s="5">
        <f>IFERROR('Concept(s) Analysis Breakdown'!EE15,0)</f>
        <v>0</v>
      </c>
      <c r="L14" s="48" cm="1">
        <f t="array" ref="L14">AVERAGE(IF(D14:K14&gt;0,D14:K14))</f>
        <v>4969.666666666667</v>
      </c>
      <c r="M14" s="49" cm="1">
        <f t="array" ref="M14">_xlfn.STDEV.S(IF(D14:K14&gt;0,D14:K14))</f>
        <v>872.58442762482059</v>
      </c>
    </row>
    <row r="15" spans="3:13" x14ac:dyDescent="0.2">
      <c r="C15" s="44"/>
      <c r="D15" s="5"/>
      <c r="G15" s="5"/>
      <c r="H15" s="5"/>
      <c r="I15" s="5"/>
      <c r="J15" s="5"/>
      <c r="K15" s="5"/>
    </row>
    <row r="16" spans="3:13" x14ac:dyDescent="0.2">
      <c r="C16" s="45"/>
      <c r="D16" s="5"/>
      <c r="E16" s="46"/>
      <c r="G16" s="5"/>
      <c r="H16" s="5"/>
      <c r="I16" s="5"/>
      <c r="J16" s="5"/>
      <c r="K16" s="5"/>
    </row>
    <row r="17" spans="3:13" ht="18" x14ac:dyDescent="0.25">
      <c r="C17" s="37" t="s">
        <v>179</v>
      </c>
      <c r="D17"/>
      <c r="E17"/>
      <c r="F17"/>
    </row>
    <row r="18" spans="3:13" x14ac:dyDescent="0.2">
      <c r="C18" s="55" t="s">
        <v>140</v>
      </c>
      <c r="D18" s="47" t="s">
        <v>118</v>
      </c>
      <c r="E18" s="47" t="s">
        <v>117</v>
      </c>
      <c r="F18" s="47" t="s">
        <v>121</v>
      </c>
      <c r="G18" s="47" t="s">
        <v>119</v>
      </c>
      <c r="H18" s="47" t="s">
        <v>116</v>
      </c>
      <c r="I18" s="47" t="s">
        <v>126</v>
      </c>
      <c r="J18" s="47" t="s">
        <v>120</v>
      </c>
      <c r="K18" s="47" t="s">
        <v>114</v>
      </c>
      <c r="L18" s="50" t="s">
        <v>136</v>
      </c>
      <c r="M18" s="50" t="s">
        <v>137</v>
      </c>
    </row>
    <row r="19" spans="3:13" x14ac:dyDescent="0.2">
      <c r="C19" s="43" t="s">
        <v>23</v>
      </c>
      <c r="D19" s="51" cm="1">
        <f t="array" ref="D19">_xlfn.IFS((D7-MAX(D7:K7))/MAX(D7:K7)=-1,"n/a",(D7-MAX(D7:K7))/MAX(D7:K7)=0,"max",(D7-MAX(D7:K7))/MAX(D7:K7),(D7-MAX(D7:K7))/MAX(D7:K7))</f>
        <v>-0.13042897233729789</v>
      </c>
      <c r="E19" s="51" t="str" cm="1">
        <f t="array" ref="E19">_xlfn.IFS((E7-MAX(D7:K7))/MAX(D7:K7)=-1,"n/a",(E7-MAX(D7:K7))/MAX(D7:K7)=0,"max",(E7-MAX(D7:K7))/MAX(D7:K7),(E7-MAX(D7:K7))/MAX(D7:K7))</f>
        <v>max</v>
      </c>
      <c r="F19" s="51" cm="1">
        <f t="array" ref="F19">_xlfn.IFS((F7-MAX(D7:K7))/MAX(D7:K7)=-1,"n/a",(F7-MAX(D7:K7))/MAX(D7:K7)=0,"max",(F7-MAX(D7:K7))/MAX(D7:K7),(F7-MAX(D7:K7))/MAX(D7:K7))</f>
        <v>-0.46835684694832097</v>
      </c>
      <c r="G19" s="51" cm="1">
        <f t="array" ref="G19">_xlfn.IFS((G7-MAX(D7:K7))/MAX(D7:K7)=-1,"n/a",(G7-MAX(D7:K7))/MAX(D7:K7)=0,"max",(G7-MAX(D7:K7))/MAX(D7:K7),(G7-MAX(D7:K7))/MAX(D7:K7))</f>
        <v>-0.53280769744754775</v>
      </c>
      <c r="H19" s="51" t="str" cm="1">
        <f t="array" ref="H19">_xlfn.IFS((H7-MAX(D7:K7))/MAX(D7:K7)=-1,"n/a",(H7-MAX(D7:K7))/MAX(D7:K7)=0,"max",(H7-MAX(D7:K7))/MAX(D7:K7),(H7-MAX(D7:K7))/MAX(D7:K7))</f>
        <v>n/a</v>
      </c>
      <c r="I19" s="51" cm="1">
        <f t="array" ref="I19">_xlfn.IFS((I7-MAX(D7:K7))/MAX(D7:K7)=-1,"n/a",(I7-MAX(D7:K7))/MAX(D7:K7)=0,"max",(I7-MAX(D7:K7))/MAX(D7:K7),(I7-MAX(D7:K7))/MAX(D7:K7))</f>
        <v>-0.14624259432491421</v>
      </c>
      <c r="J19" s="51" t="str" cm="1">
        <f t="array" ref="J19">_xlfn.IFS((J7-MAX(D7:K7))/MAX(D7:K7)=-1,"n/a",(J7-MAX(D7:K7))/MAX(D7:K7)=0,"max",(J7-MAX(D7:K7))/MAX(D7:K7),(J7-MAX(D7:K7))/MAX(D7:K7))</f>
        <v>n/a</v>
      </c>
      <c r="K19" s="51" t="str" cm="1">
        <f t="array" ref="K19">_xlfn.IFS((K7-MAX(D7:K7))/MAX(D7:K7)=-1,"n/a",(K7-MAX(D7:K7))/MAX(D7:K7)=0,"max",(K7-MAX(D7:K7))/MAX(D7:K7),(K7-MAX(D7:K7))/MAX(D7:K7))</f>
        <v>n/a</v>
      </c>
      <c r="L19" s="52">
        <f>AVERAGE(Table57[[#This Row],[Prime hours]:[KeYS]])</f>
        <v>-0.31945902776452018</v>
      </c>
      <c r="M19" s="53">
        <f>_xlfn.STDEV.S(Table57[[#This Row],[Prime hours]:[KeYS]])</f>
        <v>0.21089057990781668</v>
      </c>
    </row>
    <row r="20" spans="3:13" x14ac:dyDescent="0.2">
      <c r="C20" s="43" t="s">
        <v>9</v>
      </c>
      <c r="D20" s="51" cm="1">
        <f t="array" ref="D20">_xlfn.IFS((D8-MAX(D8:K8))/MAX(D8:K8)=-1,"n/a",(D8-MAX(D8:K8))/MAX(D8:K8)=0,"max",(D8-MAX(D8:K8))/MAX(D8:K8),(D8-MAX(D8:K8))/MAX(D8:K8))</f>
        <v>-0.13507939461605264</v>
      </c>
      <c r="E20" s="51" cm="1">
        <f t="array" ref="E20">_xlfn.IFS((E8-MAX(D8:K8))/MAX(D8:K8)=-1,"n/a",(E8-MAX(D8:K8))/MAX(D8:K8)=0,"max",(E8-MAX(D8:K8))/MAX(D8:K8),(E8-MAX(D8:K8))/MAX(D8:K8))</f>
        <v>-8.9053112871498169E-3</v>
      </c>
      <c r="F20" s="51" cm="1">
        <f t="array" ref="F20">_xlfn.IFS((F8-MAX(D8:K8))/MAX(D8:K8)=-1,"n/a",(F8-MAX(D8:K8))/MAX(D8:K8)=0,"max",(F8-MAX(D8:K8))/MAX(D8:K8),(F8-MAX(D8:K8))/MAX(D8:K8))</f>
        <v>-8.7023942438903421E-2</v>
      </c>
      <c r="G20" s="51" t="str" cm="1">
        <f t="array" ref="G20">_xlfn.IFS((G8-MAX(D8:K8))/MAX(D8:K8)=-1,"n/a",(G8-MAX(D8:K8))/MAX(D8:K8)=0,"max",(G8-MAX(D8:K8))/MAX(D8:K8),(G8-MAX(D8:K8))/MAX(D8:K8))</f>
        <v>max</v>
      </c>
      <c r="H20" s="51" t="str" cm="1">
        <f t="array" ref="H20">_xlfn.IFS((H8-MAX(D8:K8))/MAX(D8:K8)=-1,"n/a",(H8-MAX(D8:K8))/MAX(D8:K8)=0,"max",(H8-MAX(D8:K8))/MAX(D8:K8),(H8-MAX(D8:K8))/MAX(D8:K8))</f>
        <v>n/a</v>
      </c>
      <c r="I20" s="51" t="str" cm="1">
        <f t="array" ref="I20">_xlfn.IFS((I8-MAX(D8:K8))/MAX(D8:K8)=-1,"n/a",(I8-MAX(D8:K8))/MAX(D8:K8)=0,"max",(I8-MAX(D8:K8))/MAX(D8:K8),(I8-MAX(D8:K8))/MAX(D8:K8))</f>
        <v>n/a</v>
      </c>
      <c r="J20" s="51" t="str" cm="1">
        <f t="array" ref="J20">_xlfn.IFS((J8-MAX(D8:K8))/MAX(D8:K8)=-1,"n/a",(J8-MAX(D8:K8))/MAX(D8:K8)=0,"max",(J8-MAX(D8:K8))/MAX(D8:K8),(J8-MAX(D8:K8))/MAX(D8:K8))</f>
        <v>n/a</v>
      </c>
      <c r="K20" s="51" t="str" cm="1">
        <f t="array" ref="K20">_xlfn.IFS((K8-MAX(D8:K8))/MAX(D8:K8)=-1,"n/a",(K8-MAX(D8:K8))/MAX(D8:K8)=0,"max",(K8-MAX(D8:K8))/MAX(D8:K8),(K8-MAX(D8:K8))/MAX(D8:K8))</f>
        <v>n/a</v>
      </c>
      <c r="L20" s="52">
        <f>AVERAGE(Table57[[#This Row],[Prime hours]:[KeYS]])</f>
        <v>-7.7002882780701956E-2</v>
      </c>
      <c r="M20" s="53">
        <f>_xlfn.STDEV.S(Table57[[#This Row],[Prime hours]:[KeYS]])</f>
        <v>6.3681167180549947E-2</v>
      </c>
    </row>
    <row r="21" spans="3:13" x14ac:dyDescent="0.2">
      <c r="C21" s="43" t="s">
        <v>3</v>
      </c>
      <c r="D21" s="51" cm="1">
        <f t="array" ref="D21">_xlfn.IFS((D9-MAX(D9:K9))/MAX(D9:K9)=-1,"n/a",(D9-MAX(D9:K9))/MAX(D9:K9)=0,"max",(D9-MAX(D9:K9))/MAX(D9:K9),(D9-MAX(D9:K9))/MAX(D9:K9))</f>
        <v>-0.33998550374486586</v>
      </c>
      <c r="E21" s="51" cm="1">
        <f t="array" ref="E21">_xlfn.IFS((E9-MAX(D9:K9))/MAX(D9:K9)=-1,"n/a",(E9-MAX(D9:K9))/MAX(D9:K9)=0,"max",(E9-MAX(D9:K9))/MAX(D9:K9),(E9-MAX(D9:K9))/MAX(D9:K9))</f>
        <v>-0.35643875332205843</v>
      </c>
      <c r="F21" s="51" cm="1">
        <f t="array" ref="F21">_xlfn.IFS((F9-MAX(D9:K9))/MAX(D9:K9)=-1,"n/a",(F9-MAX(D9:K9))/MAX(D9:K9)=0,"max",(F9-MAX(D9:K9))/MAX(D9:K9),(F9-MAX(D9:K9))/MAX(D9:K9))</f>
        <v>-0.36187484899734235</v>
      </c>
      <c r="G21" s="51" t="str" cm="1">
        <f t="array" ref="G21">_xlfn.IFS((G9-MAX(D9:K9))/MAX(D9:K9)=-1,"n/a",(G9-MAX(D9:K9))/MAX(D9:K9)=0,"max",(G9-MAX(D9:K9))/MAX(D9:K9),(G9-MAX(D9:K9))/MAX(D9:K9))</f>
        <v>max</v>
      </c>
      <c r="H21" s="51" t="str" cm="1">
        <f t="array" ref="H21">_xlfn.IFS((H9-MAX(D9:K9))/MAX(D9:K9)=-1,"n/a",(H9-MAX(D9:K9))/MAX(D9:K9)=0,"max",(H9-MAX(D9:K9))/MAX(D9:K9),(H9-MAX(D9:K9))/MAX(D9:K9))</f>
        <v>n/a</v>
      </c>
      <c r="I21" s="51" t="str" cm="1">
        <f t="array" ref="I21">_xlfn.IFS((I9-MAX(D9:K9))/MAX(D9:K9)=-1,"n/a",(I9-MAX(D9:K9))/MAX(D9:K9)=0,"max",(I9-MAX(D9:K9))/MAX(D9:K9),(I9-MAX(D9:K9))/MAX(D9:K9))</f>
        <v>n/a</v>
      </c>
      <c r="J21" s="51" t="str" cm="1">
        <f t="array" ref="J21">_xlfn.IFS((J9-MAX(D9:K9))/MAX(D9:K9)=-1,"n/a",(J9-MAX(D9:K9))/MAX(D9:K9)=0,"max",(J9-MAX(D9:K9))/MAX(D9:K9),(J9-MAX(D9:K9))/MAX(D9:K9))</f>
        <v>n/a</v>
      </c>
      <c r="K21" s="51" t="str" cm="1">
        <f t="array" ref="K21">_xlfn.IFS((K9-MAX(D9:K9))/MAX(D9:K9)=-1,"n/a",(K9-MAX(D9:K9))/MAX(D9:K9)=0,"max",(K9-MAX(D9:K9))/MAX(D9:K9),(K9-MAX(D9:K9))/MAX(D9:K9))</f>
        <v>n/a</v>
      </c>
      <c r="L21" s="52">
        <f>AVERAGE(Table57[[#This Row],[Prime hours]:[KeYS]])</f>
        <v>-0.35276636868808886</v>
      </c>
      <c r="M21" s="53">
        <f>_xlfn.STDEV.S(Table57[[#This Row],[Prime hours]:[KeYS]])</f>
        <v>1.1397397315632657E-2</v>
      </c>
    </row>
    <row r="22" spans="3:13" x14ac:dyDescent="0.2">
      <c r="C22" s="43" t="s">
        <v>13</v>
      </c>
      <c r="D22" s="51" cm="1">
        <f t="array" ref="D22">_xlfn.IFS((D10-MAX(D10:K10))/MAX(D10:K10)=-1,"n/a",(D10-MAX(D10:K10))/MAX(D10:K10)=0,"max",(D10-MAX(D10:K10))/MAX(D10:K10),(D10-MAX(D10:K10))/MAX(D10:K10))</f>
        <v>-0.42077105284652455</v>
      </c>
      <c r="E22" s="51" t="str" cm="1">
        <f t="array" ref="E22">_xlfn.IFS((E10-MAX(D10:K10))/MAX(D10:K10)=-1,"n/a",(E10-MAX(D10:K10))/MAX(D10:K10)=0,"max",(E10-MAX(D10:K10))/MAX(D10:K10),(E10-MAX(D10:K10))/MAX(D10:K10))</f>
        <v>max</v>
      </c>
      <c r="F22" s="51" cm="1">
        <f t="array" ref="F22">_xlfn.IFS((F10-MAX(D10:K10))/MAX(D10:K10)=-1,"n/a",(F10-MAX(D10:K10))/MAX(D10:K10)=0,"max",(F10-MAX(D10:K10))/MAX(D10:K10),(F10-MAX(D10:K10))/MAX(D10:K10))</f>
        <v>-0.32983745813934501</v>
      </c>
      <c r="G22" s="51" cm="1">
        <f t="array" ref="G22">_xlfn.IFS((G10-MAX(D10:K10))/MAX(D10:K10)=-1,"n/a",(G10-MAX(D10:K10))/MAX(D10:K10)=0,"max",(G10-MAX(D10:K10))/MAX(D10:K10),(G10-MAX(D10:K10))/MAX(D10:K10))</f>
        <v>-0.36894551988891611</v>
      </c>
      <c r="H22" s="51" cm="1">
        <f t="array" ref="H22">_xlfn.IFS((H10-MAX(D10:K10))/MAX(D10:K10)=-1,"n/a",(H10-MAX(D10:K10))/MAX(D10:K10)=0,"max",(H10-MAX(D10:K10))/MAX(D10:K10),(H10-MAX(D10:K10))/MAX(D10:K10))</f>
        <v>-0.1272563914073348</v>
      </c>
      <c r="I22" s="51" t="str" cm="1">
        <f t="array" ref="I22">_xlfn.IFS((I10-MAX(D10:K10))/MAX(D10:K10)=-1,"n/a",(I10-MAX(D10:K10))/MAX(D10:K10)=0,"max",(I10-MAX(D10:K10))/MAX(D10:K10),(I10-MAX(D10:K10))/MAX(D10:K10))</f>
        <v>n/a</v>
      </c>
      <c r="J22" s="51" cm="1">
        <f t="array" ref="J22">_xlfn.IFS((J10-MAX(D10:K10))/MAX(D10:K10)=-1,"n/a",(J10-MAX(D10:K10))/MAX(D10:K10)=0,"max",(J10-MAX(D10:K10))/MAX(D10:K10),(J10-MAX(D10:K10))/MAX(D10:K10))</f>
        <v>-0.46598056032018298</v>
      </c>
      <c r="K22" s="51" cm="1">
        <f t="array" ref="K22">_xlfn.IFS((K10-MAX(D10:K10))/MAX(D10:K10)=-1,"n/a",(K10-MAX(D10:K10))/MAX(D10:K10)=0,"max",(K10-MAX(D10:K10))/MAX(D10:K10),(K10-MAX(D10:K10))/MAX(D10:K10))</f>
        <v>-0.58327207383811153</v>
      </c>
      <c r="L22" s="52">
        <f>AVERAGE(Table57[[#This Row],[Prime hours]:[KeYS]])</f>
        <v>-0.38267717607340251</v>
      </c>
      <c r="M22" s="53">
        <f>_xlfn.STDEV.S(Table57[[#This Row],[Prime hours]:[KeYS]])</f>
        <v>0.15287202601925301</v>
      </c>
    </row>
    <row r="23" spans="3:13" x14ac:dyDescent="0.2">
      <c r="C23" s="43" t="s">
        <v>139</v>
      </c>
      <c r="D23" s="51" cm="1">
        <f t="array" ref="D23">_xlfn.IFS((D11-MAX(D11:K11))/MAX(D11:K11)=-1,"n/a",(D11-MAX(D11:K11))/MAX(D11:K11)=0,"max",(D11-MAX(D11:K11))/MAX(D11:K11),(D11-MAX(D11:K11))/MAX(D11:K11))</f>
        <v>-0.26091811414392058</v>
      </c>
      <c r="E23" s="51" cm="1">
        <f t="array" ref="E23">_xlfn.IFS((E11-MAX(D11:K11))/MAX(D11:K11)=-1,"n/a",(E11-MAX(D11:K11))/MAX(D11:K11)=0,"max",(E11-MAX(D11:K11))/MAX(D11:K11),(E11-MAX(D11:K11))/MAX(D11:K11))</f>
        <v>-0.27689944464138017</v>
      </c>
      <c r="F23" s="51" cm="1">
        <f t="array" ref="F23">_xlfn.IFS((F11-MAX(D11:K11))/MAX(D11:K11)=-1,"n/a",(F11-MAX(D11:K11))/MAX(D11:K11)=0,"max",(F11-MAX(D11:K11))/MAX(D11:K11),(F11-MAX(D11:K11))/MAX(D11:K11))</f>
        <v>-8.1780585006391404E-2</v>
      </c>
      <c r="G23" s="51" t="str" cm="1">
        <f t="array" ref="G23">_xlfn.IFS((G11-MAX(D11:K11))/MAX(D11:K11)=-1,"n/a",(G11-MAX(D11:K11))/MAX(D11:K11)=0,"max",(G11-MAX(D11:K11))/MAX(D11:K11),(G11-MAX(D11:K11))/MAX(D11:K11))</f>
        <v>max</v>
      </c>
      <c r="H23" s="51" t="str" cm="1">
        <f t="array" ref="H23">_xlfn.IFS((H11-MAX(D11:K11))/MAX(D11:K11)=-1,"n/a",(H11-MAX(D11:K11))/MAX(D11:K11)=0,"max",(H11-MAX(D11:K11))/MAX(D11:K11),(H11-MAX(D11:K11))/MAX(D11:K11))</f>
        <v>n/a</v>
      </c>
      <c r="I23" s="51" t="str" cm="1">
        <f t="array" ref="I23">_xlfn.IFS((I11-MAX(D11:K11))/MAX(D11:K11)=-1,"n/a",(I11-MAX(D11:K11))/MAX(D11:K11)=0,"max",(I11-MAX(D11:K11))/MAX(D11:K11),(I11-MAX(D11:K11))/MAX(D11:K11))</f>
        <v>n/a</v>
      </c>
      <c r="J23" s="51" t="str" cm="1">
        <f t="array" ref="J23">_xlfn.IFS((J11-MAX(D11:K11))/MAX(D11:K11)=-1,"n/a",(J11-MAX(D11:K11))/MAX(D11:K11)=0,"max",(J11-MAX(D11:K11))/MAX(D11:K11),(J11-MAX(D11:K11))/MAX(D11:K11))</f>
        <v>n/a</v>
      </c>
      <c r="K23" s="51" t="str" cm="1">
        <f t="array" ref="K23">_xlfn.IFS((K11-MAX(D11:K11))/MAX(D11:K11)=-1,"n/a",(K11-MAX(D11:K11))/MAX(D11:K11)=0,"max",(K11-MAX(D11:K11))/MAX(D11:K11),(K11-MAX(D11:K11))/MAX(D11:K11))</f>
        <v>n/a</v>
      </c>
      <c r="L23" s="52">
        <f>AVERAGE(Table57[[#This Row],[Prime hours]:[KeYS]])</f>
        <v>-0.20653271459723069</v>
      </c>
      <c r="M23" s="53">
        <f>_xlfn.STDEV.S(Table57[[#This Row],[Prime hours]:[KeYS]])</f>
        <v>0.10833361024725632</v>
      </c>
    </row>
    <row r="24" spans="3:13" x14ac:dyDescent="0.2">
      <c r="C24" s="43" t="s">
        <v>20</v>
      </c>
      <c r="D24" s="51" cm="1">
        <f t="array" ref="D24">_xlfn.IFS((D12-MAX(D12:K12))/MAX(D12:K12)=-1,"n/a",(D12-MAX(D12:K12))/MAX(D12:K12)=0,"max",(D12-MAX(D12:K12))/MAX(D12:K12),(D12-MAX(D12:K12))/MAX(D12:K12))</f>
        <v>-0.27718935675536038</v>
      </c>
      <c r="E24" s="51" t="str" cm="1">
        <f t="array" ref="E24">_xlfn.IFS((E12-MAX(D12:K12))/MAX(D12:K12)=-1,"n/a",(E12-MAX(D12:K12))/MAX(D12:K12)=0,"max",(E12-MAX(D12:K12))/MAX(D12:K12),(E12-MAX(D12:K12))/MAX(D12:K12))</f>
        <v>n/a</v>
      </c>
      <c r="F24" s="51" cm="1">
        <f t="array" ref="F24">_xlfn.IFS((F12-MAX(D12:K12))/MAX(D12:K12)=-1,"n/a",(F12-MAX(D12:K12))/MAX(D12:K12)=0,"max",(F12-MAX(D12:K12))/MAX(D12:K12),(F12-MAX(D12:K12))/MAX(D12:K12))</f>
        <v>-0.27654352880392663</v>
      </c>
      <c r="G24" s="51" t="str" cm="1">
        <f t="array" ref="G24">_xlfn.IFS((G12-MAX(D12:K12))/MAX(D12:K12)=-1,"n/a",(G12-MAX(D12:K12))/MAX(D12:K12)=0,"max",(G12-MAX(D12:K12))/MAX(D12:K12),(G12-MAX(D12:K12))/MAX(D12:K12))</f>
        <v>max</v>
      </c>
      <c r="H24" s="51" t="str" cm="1">
        <f t="array" ref="H24">_xlfn.IFS((H12-MAX(D12:K12))/MAX(D12:K12)=-1,"n/a",(H12-MAX(D12:K12))/MAX(D12:K12)=0,"max",(H12-MAX(D12:K12))/MAX(D12:K12),(H12-MAX(D12:K12))/MAX(D12:K12))</f>
        <v>n/a</v>
      </c>
      <c r="I24" s="51" cm="1">
        <f t="array" ref="I24">_xlfn.IFS((I12-MAX(D12:K12))/MAX(D12:K12)=-1,"n/a",(I12-MAX(D12:K12))/MAX(D12:K12)=0,"max",(I12-MAX(D12:K12))/MAX(D12:K12),(I12-MAX(D12:K12))/MAX(D12:K12))</f>
        <v>-0.35210539912167399</v>
      </c>
      <c r="J24" s="51" t="str" cm="1">
        <f t="array" ref="J24">_xlfn.IFS((J12-MAX(D12:K12))/MAX(D12:K12)=-1,"n/a",(J12-MAX(D12:K12))/MAX(D12:K12)=0,"max",(J12-MAX(D12:K12))/MAX(D12:K12),(J12-MAX(D12:K12))/MAX(D12:K12))</f>
        <v>n/a</v>
      </c>
      <c r="K24" s="51" t="str" cm="1">
        <f t="array" ref="K24">_xlfn.IFS((K12-MAX(D12:K12))/MAX(D12:K12)=-1,"n/a",(K12-MAX(D12:K12))/MAX(D12:K12)=0,"max",(K12-MAX(D12:K12))/MAX(D12:K12),(K12-MAX(D12:K12))/MAX(D12:K12))</f>
        <v>n/a</v>
      </c>
      <c r="L24" s="52">
        <f>AVERAGE(Table57[[#This Row],[Prime hours]:[KeYS]])</f>
        <v>-0.30194609489365365</v>
      </c>
      <c r="M24" s="53">
        <f>_xlfn.STDEV.S(Table57[[#This Row],[Prime hours]:[KeYS]])</f>
        <v>4.344043190295261E-2</v>
      </c>
    </row>
    <row r="25" spans="3:13" x14ac:dyDescent="0.2">
      <c r="C25" s="43" t="s">
        <v>51</v>
      </c>
      <c r="D25" s="51" t="str" cm="1">
        <f t="array" ref="D25">_xlfn.IFS((D13-MAX(D13:K13))/MAX(D13:K13)=-1,"n/a",(D13-MAX(D13:K13))/MAX(D13:K13)=0,"max",(D13-MAX(D13:K13))/MAX(D13:K13),(D13-MAX(D13:K13))/MAX(D13:K13))</f>
        <v>max</v>
      </c>
      <c r="E25" s="51" cm="1">
        <f t="array" ref="E25">_xlfn.IFS((E13-MAX(D13:K13))/MAX(D13:K13)=-1,"n/a",(E13-MAX(D13:K13))/MAX(D13:K13)=0,"max",(E13-MAX(D13:K13))/MAX(D13:K13),(E13-MAX(D13:K13))/MAX(D13:K13))</f>
        <v>-1.6097487588385792E-2</v>
      </c>
      <c r="F25" s="51" cm="1">
        <f t="array" ref="F25">_xlfn.IFS((F13-MAX(D13:K13))/MAX(D13:K13)=-1,"n/a",(F13-MAX(D13:K13))/MAX(D13:K13)=0,"max",(F13-MAX(D13:K13))/MAX(D13:K13),(F13-MAX(D13:K13))/MAX(D13:K13))</f>
        <v>-4.3827290506995756E-2</v>
      </c>
      <c r="G25" s="51" t="str" cm="1">
        <f t="array" ref="G25">_xlfn.IFS((G13-MAX(D13:K13))/MAX(D13:K13)=-1,"n/a",(G13-MAX(D13:K13))/MAX(D13:K13)=0,"max",(G13-MAX(D13:K13))/MAX(D13:K13),(G13-MAX(D13:K13))/MAX(D13:K13))</f>
        <v>n/a</v>
      </c>
      <c r="H25" s="51" t="str" cm="1">
        <f t="array" ref="H25">_xlfn.IFS((H13-MAX(D13:K13))/MAX(D13:K13)=-1,"n/a",(H13-MAX(D13:K13))/MAX(D13:K13)=0,"max",(H13-MAX(D13:K13))/MAX(D13:K13),(H13-MAX(D13:K13))/MAX(D13:K13))</f>
        <v>n/a</v>
      </c>
      <c r="I25" s="51" t="str" cm="1">
        <f t="array" ref="I25">_xlfn.IFS((I13-MAX(D13:K13))/MAX(D13:K13)=-1,"n/a",(I13-MAX(D13:K13))/MAX(D13:K13)=0,"max",(I13-MAX(D13:K13))/MAX(D13:K13),(I13-MAX(D13:K13))/MAX(D13:K13))</f>
        <v>n/a</v>
      </c>
      <c r="J25" s="51" t="str" cm="1">
        <f t="array" ref="J25">_xlfn.IFS((J13-MAX(D13:K13))/MAX(D13:K13)=-1,"n/a",(J13-MAX(D13:K13))/MAX(D13:K13)=0,"max",(J13-MAX(D13:K13))/MAX(D13:K13),(J13-MAX(D13:K13))/MAX(D13:K13))</f>
        <v>n/a</v>
      </c>
      <c r="K25" s="51" cm="1">
        <f t="array" ref="K25">_xlfn.IFS((K13-MAX(D13:K13))/MAX(D13:K13)=-1,"n/a",(K13-MAX(D13:K13))/MAX(D13:K13)=0,"max",(K13-MAX(D13:K13))/MAX(D13:K13),(K13-MAX(D13:K13))/MAX(D13:K13))</f>
        <v>-0.57556792537987067</v>
      </c>
      <c r="L25" s="52">
        <f>AVERAGE(Table57[[#This Row],[Prime hours]:[KeYS]])</f>
        <v>-0.21183090115841741</v>
      </c>
      <c r="M25" s="53">
        <f>_xlfn.STDEV.S(Table57[[#This Row],[Prime hours]:[KeYS]])</f>
        <v>0.31531048600480255</v>
      </c>
    </row>
    <row r="26" spans="3:13" x14ac:dyDescent="0.2">
      <c r="C26" s="43" t="s">
        <v>68</v>
      </c>
      <c r="D26" s="51" cm="1">
        <f t="array" ref="D26">_xlfn.IFS((D14-MAX(D14:K14))/MAX(D14:K14)=-1,"n/a",(D14-MAX(D14:K14))/MAX(D14:K14)=0,"max",(D14-MAX(D14:K14))/MAX(D14:K14),(D14-MAX(D14:K14))/MAX(D14:K14))</f>
        <v>-0.29597954505378238</v>
      </c>
      <c r="E26" s="51" t="str" cm="1">
        <f t="array" ref="E26">_xlfn.IFS((E14-MAX(D14:K14))/MAX(D14:K14)=-1,"n/a",(E14-MAX(D14:K14))/MAX(D14:K14)=0,"max",(E14-MAX(D14:K14))/MAX(D14:K14),(E14-MAX(D14:K14))/MAX(D14:K14))</f>
        <v>n/a</v>
      </c>
      <c r="F26" s="51" t="str" cm="1">
        <f t="array" ref="F26">_xlfn.IFS((F14-MAX(D14:K14))/MAX(D14:K14)=-1,"n/a",(F14-MAX(D14:K14))/MAX(D14:K14)=0,"max",(F14-MAX(D14:K14))/MAX(D14:K14),(F14-MAX(D14:K14))/MAX(D14:K14))</f>
        <v>n/a</v>
      </c>
      <c r="G26" s="51" cm="1">
        <f t="array" ref="G26">_xlfn.IFS((G14-MAX(D14:K14))/MAX(D14:K14)=-1,"n/a",(G14-MAX(D14:K14))/MAX(D14:K14)=0,"max",(G14-MAX(D14:K14))/MAX(D14:K14),(G14-MAX(D14:K14))/MAX(D14:K14))</f>
        <v>-7.5030858755069652E-2</v>
      </c>
      <c r="H26" s="51" t="str" cm="1">
        <f t="array" ref="H26">_xlfn.IFS((H14-MAX(D14:K14))/MAX(D14:K14)=-1,"n/a",(H14-MAX(D14:K14))/MAX(D14:K14)=0,"max",(H14-MAX(D14:K14))/MAX(D14:K14),(H14-MAX(D14:K14))/MAX(D14:K14))</f>
        <v>n/a</v>
      </c>
      <c r="I26" s="51" t="str" cm="1">
        <f t="array" ref="I26">_xlfn.IFS((I14-MAX(D14:K14))/MAX(D14:K14)=-1,"n/a",(I14-MAX(D14:K14))/MAX(D14:K14)=0,"max",(I14-MAX(D14:K14))/MAX(D14:K14),(I14-MAX(D14:K14))/MAX(D14:K14))</f>
        <v>max</v>
      </c>
      <c r="J26" s="51" t="str" cm="1">
        <f t="array" ref="J26">_xlfn.IFS((J14-MAX(D14:K14))/MAX(D14:K14)=-1,"n/a",(J14-MAX(D14:K14))/MAX(D14:K14)=0,"max",(J14-MAX(D14:K14))/MAX(D14:K14),(J14-MAX(D14:K14))/MAX(D14:K14))</f>
        <v>n/a</v>
      </c>
      <c r="K26" s="51" t="str" cm="1">
        <f t="array" ref="K26">_xlfn.IFS((K14-MAX(D14:K14))/MAX(D14:K14)=-1,"n/a",(K14-MAX(D14:K14))/MAX(D14:K14)=0,"max",(K14-MAX(D14:K14))/MAX(D14:K14),(K14-MAX(D14:K14))/MAX(D14:K14))</f>
        <v>n/a</v>
      </c>
      <c r="L26" s="52">
        <f>AVERAGE(Table57[[#This Row],[Prime hours]:[KeYS]])</f>
        <v>-0.18550520190442601</v>
      </c>
      <c r="M26" s="53">
        <f>_xlfn.STDEV.S(Table57[[#This Row],[Prime hours]:[KeYS]])</f>
        <v>0.15623431437607899</v>
      </c>
    </row>
    <row r="27" spans="3:13" x14ac:dyDescent="0.2">
      <c r="D27"/>
      <c r="E27"/>
      <c r="F27"/>
    </row>
    <row r="28" spans="3:13" x14ac:dyDescent="0.2">
      <c r="D28"/>
      <c r="E28"/>
      <c r="F28"/>
    </row>
    <row r="29" spans="3:13" ht="18" x14ac:dyDescent="0.25">
      <c r="C29" s="37" t="s">
        <v>168</v>
      </c>
      <c r="D29"/>
      <c r="E29"/>
      <c r="F29"/>
    </row>
    <row r="30" spans="3:13" x14ac:dyDescent="0.2">
      <c r="C30" s="55" t="s">
        <v>140</v>
      </c>
      <c r="D30" s="47" t="s">
        <v>118</v>
      </c>
      <c r="E30" s="47" t="s">
        <v>117</v>
      </c>
      <c r="F30" s="47" t="s">
        <v>121</v>
      </c>
      <c r="G30" s="47" t="s">
        <v>119</v>
      </c>
      <c r="H30" s="47" t="s">
        <v>116</v>
      </c>
      <c r="I30" s="47" t="s">
        <v>126</v>
      </c>
      <c r="J30" s="47" t="s">
        <v>120</v>
      </c>
      <c r="K30" s="47" t="s">
        <v>114</v>
      </c>
      <c r="L30" s="50" t="s">
        <v>136</v>
      </c>
      <c r="M30" s="50" t="s">
        <v>137</v>
      </c>
    </row>
    <row r="31" spans="3:13" x14ac:dyDescent="0.2">
      <c r="C31" s="43" t="s">
        <v>23</v>
      </c>
      <c r="D31" s="51">
        <f>IF(D7/SUM(Table5[Prime hours])=0,"n/a",D7/SUM(Table5[Prime hours]))</f>
        <v>0.15348508078782877</v>
      </c>
      <c r="E31" s="51">
        <f>IF(E7/SUM(Table5[Great times])=0,"n/a",E7/SUM(Table5[Great times]))</f>
        <v>0.19034519849049475</v>
      </c>
      <c r="F31" s="51">
        <f>IF(F7/SUM(Table5[Good times])=0,"n/a",F7/SUM(Table5[Good times]))</f>
        <v>0.10485879860851892</v>
      </c>
      <c r="G31" s="51">
        <f>IF(G7/SUM(Table5[Late-night])=0,"n/a",G7/SUM(Table5[Late-night]))</f>
        <v>8.2206920336571815E-2</v>
      </c>
      <c r="H31" s="51" t="str">
        <f>IF(H7/SUM(Table5[Early asf])=0,"n/a",H7/SUM(Table5[Early asf]))</f>
        <v>n/a</v>
      </c>
      <c r="I31" s="51">
        <f>IF(I7/SUM(Table5[GG EST Mfs])=0,"n/a",I7/SUM(Table5[GG EST Mfs]))</f>
        <v>0.37413863782770801</v>
      </c>
      <c r="J31" s="51" t="str">
        <f>IF(J7/SUM(Table5[Lol])=0,"n/a",J7/SUM(Table5[Lol]))</f>
        <v>n/a</v>
      </c>
      <c r="K31" s="51" t="str">
        <f>IF(K7/SUM(Table5[KeYS])=0,"n/a",K7/SUM(Table5[KeYS]))</f>
        <v>n/a</v>
      </c>
      <c r="L31" s="52">
        <f>AVERAGE(Table578[[#This Row],[Prime hours]:[KeYS]])</f>
        <v>0.18100692721022446</v>
      </c>
      <c r="M31" s="53">
        <f>_xlfn.STDEV.S(Table578[[#This Row],[Prime hours]:[KeYS]])</f>
        <v>0.11587114808572165</v>
      </c>
    </row>
    <row r="32" spans="3:13" x14ac:dyDescent="0.2">
      <c r="C32" s="43" t="s">
        <v>9</v>
      </c>
      <c r="D32" s="51">
        <f>IF(D8/SUM(Table5[Prime hours])=0,"n/a",D8/SUM(Table5[Prime hours]))</f>
        <v>0.10963753587294101</v>
      </c>
      <c r="E32" s="51">
        <f>IF(E8/SUM(Table5[Great times])=0,"n/a",E8/SUM(Table5[Great times]))</f>
        <v>0.1354811866005062</v>
      </c>
      <c r="F32" s="51">
        <f>IF(F8/SUM(Table5[Good times])=0,"n/a",F8/SUM(Table5[Good times]))</f>
        <v>0.12932007800717621</v>
      </c>
      <c r="G32" s="51">
        <f>IF(G8/SUM(Table5[Late-night])=0,"n/a",G8/SUM(Table5[Late-night]))</f>
        <v>0.12636727399563413</v>
      </c>
      <c r="H32" s="51" t="str">
        <f>IF(H8/SUM(Table5[Early asf])=0,"n/a",H8/SUM(Table5[Early asf]))</f>
        <v>n/a</v>
      </c>
      <c r="I32" s="51" t="str">
        <f>IF(I8/SUM(Table5[GG EST Mfs])=0,"n/a",I8/SUM(Table5[GG EST Mfs]))</f>
        <v>n/a</v>
      </c>
      <c r="J32" s="51" t="str">
        <f>IF(J8/SUM(Table5[Lol])=0,"n/a",J8/SUM(Table5[Lol]))</f>
        <v>n/a</v>
      </c>
      <c r="K32" s="51" t="str">
        <f>IF(K8/SUM(Table5[KeYS])=0,"n/a",K8/SUM(Table5[KeYS]))</f>
        <v>n/a</v>
      </c>
      <c r="L32" s="52">
        <f>AVERAGE(Table578[[#This Row],[Prime hours]:[KeYS]])</f>
        <v>0.12520151861906437</v>
      </c>
      <c r="M32" s="53">
        <f>_xlfn.STDEV.S(Table578[[#This Row],[Prime hours]:[KeYS]])</f>
        <v>1.1048840810415539E-2</v>
      </c>
    </row>
    <row r="33" spans="3:13" x14ac:dyDescent="0.2">
      <c r="C33" s="43" t="s">
        <v>3</v>
      </c>
      <c r="D33" s="51">
        <f>IF(D9/SUM(Table5[Prime hours])=0,"n/a",D9/SUM(Table5[Prime hours]))</f>
        <v>0.10739473994574834</v>
      </c>
      <c r="E33" s="51">
        <f>IF(E9/SUM(Table5[Great times])=0,"n/a",E9/SUM(Table5[Great times]))</f>
        <v>0.11292763713731811</v>
      </c>
      <c r="F33" s="51">
        <f>IF(F9/SUM(Table5[Good times])=0,"n/a",F9/SUM(Table5[Good times]))</f>
        <v>0.11602696855511713</v>
      </c>
      <c r="G33" s="51">
        <f>IF(G9/SUM(Table5[Late-night])=0,"n/a",G9/SUM(Table5[Late-night]))</f>
        <v>0.16221130972209705</v>
      </c>
      <c r="H33" s="51" t="str">
        <f>IF(H9/SUM(Table5[Early asf])=0,"n/a",H9/SUM(Table5[Early asf]))</f>
        <v>n/a</v>
      </c>
      <c r="I33" s="51" t="str">
        <f>IF(I9/SUM(Table5[GG EST Mfs])=0,"n/a",I9/SUM(Table5[GG EST Mfs]))</f>
        <v>n/a</v>
      </c>
      <c r="J33" s="51" t="str">
        <f>IF(J9/SUM(Table5[Lol])=0,"n/a",J9/SUM(Table5[Lol]))</f>
        <v>n/a</v>
      </c>
      <c r="K33" s="51" t="str">
        <f>IF(K9/SUM(Table5[KeYS])=0,"n/a",K9/SUM(Table5[KeYS]))</f>
        <v>n/a</v>
      </c>
      <c r="L33" s="52">
        <f>AVERAGE(Table578[[#This Row],[Prime hours]:[KeYS]])</f>
        <v>0.12464016384007015</v>
      </c>
      <c r="M33" s="53">
        <f>_xlfn.STDEV.S(Table578[[#This Row],[Prime hours]:[KeYS]])</f>
        <v>2.5300632817927843E-2</v>
      </c>
    </row>
    <row r="34" spans="3:13" x14ac:dyDescent="0.2">
      <c r="C34" s="43" t="s">
        <v>13</v>
      </c>
      <c r="D34" s="51">
        <f>IF(D10/SUM(Table5[Prime hours])=0,"n/a",D10/SUM(Table5[Prime hours]))</f>
        <v>0.16727208397216656</v>
      </c>
      <c r="E34" s="51">
        <f>IF(E10/SUM(Table5[Great times])=0,"n/a",E10/SUM(Table5[Great times]))</f>
        <v>0.31142539958828375</v>
      </c>
      <c r="F34" s="51">
        <f>IF(F10/SUM(Table5[Good times])=0,"n/a",F10/SUM(Table5[Good times]))</f>
        <v>0.21626035247638004</v>
      </c>
      <c r="G34" s="51">
        <f>IF(G10/SUM(Table5[Late-night])=0,"n/a",G10/SUM(Table5[Late-night]))</f>
        <v>0.18167353161337355</v>
      </c>
      <c r="H34" s="51">
        <f>IF(H10/SUM(Table5[Early asf])=0,"n/a",H10/SUM(Table5[Early asf]))</f>
        <v>1</v>
      </c>
      <c r="I34" s="51" t="str">
        <f>IF(I10/SUM(Table5[GG EST Mfs])=0,"n/a",I10/SUM(Table5[GG EST Mfs]))</f>
        <v>n/a</v>
      </c>
      <c r="J34" s="51">
        <f>IF(J10/SUM(Table5[Lol])=0,"n/a",J10/SUM(Table5[Lol]))</f>
        <v>1</v>
      </c>
      <c r="K34" s="51">
        <f>IF(K10/SUM(Table5[KeYS])=0,"n/a",K10/SUM(Table5[KeYS]))</f>
        <v>0.68455655440762109</v>
      </c>
      <c r="L34" s="52">
        <f>AVERAGE(Table578[[#This Row],[Prime hours]:[KeYS]])</f>
        <v>0.50874113172254642</v>
      </c>
      <c r="M34" s="53">
        <f>_xlfn.STDEV.S(Table578[[#This Row],[Prime hours]:[KeYS]])</f>
        <v>0.37895348091053566</v>
      </c>
    </row>
    <row r="35" spans="3:13" x14ac:dyDescent="0.2">
      <c r="C35" s="43" t="s">
        <v>139</v>
      </c>
      <c r="D35" s="51">
        <f>IF(D11/SUM(Table5[Prime hours])=0,"n/a",D11/SUM(Table5[Prime hours]))</f>
        <v>0.10538388960962379</v>
      </c>
      <c r="E35" s="51">
        <f>IF(E11/SUM(Table5[Great times])=0,"n/a",E11/SUM(Table5[Great times]))</f>
        <v>0.11118883532983635</v>
      </c>
      <c r="F35" s="51">
        <f>IF(F11/SUM(Table5[Good times])=0,"n/a",F11/SUM(Table5[Good times]))</f>
        <v>0.14630247860620765</v>
      </c>
      <c r="G35" s="51">
        <f>IF(G11/SUM(Table5[Late-night])=0,"n/a",G11/SUM(Table5[Late-night]))</f>
        <v>0.14214554732110316</v>
      </c>
      <c r="H35" s="51" t="str">
        <f>IF(H11/SUM(Table5[Early asf])=0,"n/a",H11/SUM(Table5[Early asf]))</f>
        <v>n/a</v>
      </c>
      <c r="I35" s="51" t="str">
        <f>IF(I11/SUM(Table5[GG EST Mfs])=0,"n/a",I11/SUM(Table5[GG EST Mfs]))</f>
        <v>n/a</v>
      </c>
      <c r="J35" s="51" t="str">
        <f>IF(J11/SUM(Table5[Lol])=0,"n/a",J11/SUM(Table5[Lol]))</f>
        <v>n/a</v>
      </c>
      <c r="K35" s="51" t="str">
        <f>IF(K11/SUM(Table5[KeYS])=0,"n/a",K11/SUM(Table5[KeYS]))</f>
        <v>n/a</v>
      </c>
      <c r="L35" s="52">
        <f>AVERAGE(Table578[[#This Row],[Prime hours]:[KeYS]])</f>
        <v>0.12625518771669275</v>
      </c>
      <c r="M35" s="53">
        <f>_xlfn.STDEV.S(Table578[[#This Row],[Prime hours]:[KeYS]])</f>
        <v>2.0952354356852571E-2</v>
      </c>
    </row>
    <row r="36" spans="3:13" x14ac:dyDescent="0.2">
      <c r="C36" s="43" t="s">
        <v>20</v>
      </c>
      <c r="D36" s="51">
        <f>IF(D12/SUM(Table5[Prime hours])=0,"n/a",D12/SUM(Table5[Prime hours]))</f>
        <v>0.13199669772378819</v>
      </c>
      <c r="E36" s="51" t="str">
        <f>IF(E12/SUM(Table5[Great times])=0,"n/a",E12/SUM(Table5[Great times]))</f>
        <v>n/a</v>
      </c>
      <c r="F36" s="51">
        <f>IF(F12/SUM(Table5[Good times])=0,"n/a",F12/SUM(Table5[Good times]))</f>
        <v>0.14762995249368721</v>
      </c>
      <c r="G36" s="51">
        <f>IF(G12/SUM(Table5[Late-night])=0,"n/a",G12/SUM(Table5[Late-night]))</f>
        <v>0.18204976465839218</v>
      </c>
      <c r="H36" s="51" t="str">
        <f>IF(H12/SUM(Table5[Early asf])=0,"n/a",H12/SUM(Table5[Early asf]))</f>
        <v>n/a</v>
      </c>
      <c r="I36" s="51">
        <f>IF(I12/SUM(Table5[GG EST Mfs])=0,"n/a",I12/SUM(Table5[GG EST Mfs]))</f>
        <v>0.29375134206570752</v>
      </c>
      <c r="J36" s="51" t="str">
        <f>IF(J12/SUM(Table5[Lol])=0,"n/a",J12/SUM(Table5[Lol]))</f>
        <v>n/a</v>
      </c>
      <c r="K36" s="51" t="str">
        <f>IF(K12/SUM(Table5[KeYS])=0,"n/a",K12/SUM(Table5[KeYS]))</f>
        <v>n/a</v>
      </c>
      <c r="L36" s="52">
        <f>AVERAGE(Table578[[#This Row],[Prime hours]:[KeYS]])</f>
        <v>0.18885693923539376</v>
      </c>
      <c r="M36" s="53">
        <f>_xlfn.STDEV.S(Table578[[#This Row],[Prime hours]:[KeYS]])</f>
        <v>7.2988412028688721E-2</v>
      </c>
    </row>
    <row r="37" spans="3:13" x14ac:dyDescent="0.2">
      <c r="C37" s="43" t="s">
        <v>51</v>
      </c>
      <c r="D37" s="51">
        <f>IF(D13/SUM(Table5[Prime hours])=0,"n/a",D13/SUM(Table5[Prime hours]))</f>
        <v>0.13065613083303851</v>
      </c>
      <c r="E37" s="51">
        <f>IF(E13/SUM(Table5[Great times])=0,"n/a",E13/SUM(Table5[Great times]))</f>
        <v>0.13863174285356092</v>
      </c>
      <c r="F37" s="51">
        <f>IF(F13/SUM(Table5[Good times])=0,"n/a",F13/SUM(Table5[Good times]))</f>
        <v>0.13960137125291283</v>
      </c>
      <c r="G37" s="51" t="str">
        <f>IF(G13/SUM(Table5[Late-night])=0,"n/a",G13/SUM(Table5[Late-night]))</f>
        <v>n/a</v>
      </c>
      <c r="H37" s="51" t="str">
        <f>IF(H13/SUM(Table5[Early asf])=0,"n/a",H13/SUM(Table5[Early asf]))</f>
        <v>n/a</v>
      </c>
      <c r="I37" s="51" t="str">
        <f>IF(I13/SUM(Table5[GG EST Mfs])=0,"n/a",I13/SUM(Table5[GG EST Mfs]))</f>
        <v>n/a</v>
      </c>
      <c r="J37" s="51" t="str">
        <f>IF(J13/SUM(Table5[Lol])=0,"n/a",J13/SUM(Table5[Lol]))</f>
        <v>n/a</v>
      </c>
      <c r="K37" s="51">
        <f>IF(K13/SUM(Table5[KeYS])=0,"n/a",K13/SUM(Table5[KeYS]))</f>
        <v>0.31544344559237891</v>
      </c>
      <c r="L37" s="52">
        <f>AVERAGE(Table578[[#This Row],[Prime hours]:[KeYS]])</f>
        <v>0.1810831726329728</v>
      </c>
      <c r="M37" s="53">
        <f>_xlfn.STDEV.S(Table578[[#This Row],[Prime hours]:[KeYS]])</f>
        <v>8.9663134807399153E-2</v>
      </c>
    </row>
    <row r="38" spans="3:13" x14ac:dyDescent="0.2">
      <c r="C38" s="43" t="s">
        <v>68</v>
      </c>
      <c r="D38" s="51">
        <f>IF(D14/SUM(Table5[Prime hours])=0,"n/a",D14/SUM(Table5[Prime hours]))</f>
        <v>9.4173841254864971E-2</v>
      </c>
      <c r="E38" s="51" t="str">
        <f>IF(E14/SUM(Table5[Great times])=0,"n/a",E14/SUM(Table5[Great times]))</f>
        <v>n/a</v>
      </c>
      <c r="F38" s="51" t="str">
        <f>IF(F14/SUM(Table5[Good times])=0,"n/a",F14/SUM(Table5[Good times]))</f>
        <v>n/a</v>
      </c>
      <c r="G38" s="51">
        <f>IF(G14/SUM(Table5[Late-night])=0,"n/a",G14/SUM(Table5[Late-night]))</f>
        <v>0.12334565235282823</v>
      </c>
      <c r="H38" s="51" t="str">
        <f>IF(H14/SUM(Table5[Early asf])=0,"n/a",H14/SUM(Table5[Early asf]))</f>
        <v>n/a</v>
      </c>
      <c r="I38" s="51">
        <f>IF(I14/SUM(Table5[GG EST Mfs])=0,"n/a",I14/SUM(Table5[GG EST Mfs]))</f>
        <v>0.33211002010658441</v>
      </c>
      <c r="J38" s="51" t="str">
        <f>IF(J14/SUM(Table5[Lol])=0,"n/a",J14/SUM(Table5[Lol]))</f>
        <v>n/a</v>
      </c>
      <c r="K38" s="51" t="str">
        <f>IF(K14/SUM(Table5[KeYS])=0,"n/a",K14/SUM(Table5[KeYS]))</f>
        <v>n/a</v>
      </c>
      <c r="L38" s="52">
        <f>AVERAGE(Table578[[#This Row],[Prime hours]:[KeYS]])</f>
        <v>0.1832098379047592</v>
      </c>
      <c r="M38" s="53">
        <f>_xlfn.STDEV.S(Table578[[#This Row],[Prime hours]:[KeYS]])</f>
        <v>0.12977363690475185</v>
      </c>
    </row>
    <row r="39" spans="3:13" x14ac:dyDescent="0.2">
      <c r="D39"/>
      <c r="E39"/>
      <c r="F39"/>
    </row>
    <row r="40" spans="3:13" x14ac:dyDescent="0.2">
      <c r="D40"/>
      <c r="E40"/>
      <c r="F40"/>
    </row>
    <row r="41" spans="3:13" x14ac:dyDescent="0.2">
      <c r="D41" s="54"/>
      <c r="E41" s="54"/>
      <c r="F41" s="54"/>
      <c r="G41" s="54"/>
      <c r="H41" s="54"/>
      <c r="I41" s="54"/>
      <c r="J41" s="54"/>
      <c r="K41" s="54"/>
    </row>
    <row r="42" spans="3:13" ht="18" x14ac:dyDescent="0.25">
      <c r="C42" s="37" t="s">
        <v>169</v>
      </c>
      <c r="D42"/>
      <c r="E42"/>
      <c r="F42"/>
    </row>
    <row r="43" spans="3:13" x14ac:dyDescent="0.2">
      <c r="C43" s="55" t="s">
        <v>140</v>
      </c>
      <c r="D43" s="47" t="s">
        <v>118</v>
      </c>
      <c r="E43" s="47" t="s">
        <v>117</v>
      </c>
      <c r="F43" s="47" t="s">
        <v>121</v>
      </c>
      <c r="G43" s="47" t="s">
        <v>119</v>
      </c>
      <c r="H43" s="47" t="s">
        <v>116</v>
      </c>
      <c r="I43" s="47" t="s">
        <v>126</v>
      </c>
      <c r="J43" s="47" t="s">
        <v>120</v>
      </c>
      <c r="K43" s="47" t="s">
        <v>114</v>
      </c>
      <c r="L43" s="50" t="s">
        <v>136</v>
      </c>
      <c r="M43" s="50" t="s">
        <v>137</v>
      </c>
    </row>
    <row r="44" spans="3:13" x14ac:dyDescent="0.2">
      <c r="C44" s="43" t="s">
        <v>23</v>
      </c>
      <c r="D44" s="61">
        <f>'Concept(s) Analysis Breakdown'!$Q8</f>
        <v>868.5</v>
      </c>
      <c r="E44" s="61">
        <f>'Concept(s) Analysis Breakdown'!$Q9</f>
        <v>549</v>
      </c>
      <c r="F44" s="61">
        <f>'Concept(s) Analysis Breakdown'!$Q10</f>
        <v>299.42857142857144</v>
      </c>
      <c r="G44" s="61">
        <f>'Concept(s) Analysis Breakdown'!$Q11</f>
        <v>521</v>
      </c>
      <c r="H44" s="61" t="str">
        <f>IFERROR('Concept(s) Analysis Breakdown'!$Q12,"n/a")</f>
        <v>n/a</v>
      </c>
      <c r="I44" s="61">
        <f>'Concept(s) Analysis Breakdown'!$Q13</f>
        <v>465.33333333333331</v>
      </c>
      <c r="J44" s="61" t="str">
        <f>IFERROR('Concept(s) Analysis Breakdown'!$Q14,"n/a")</f>
        <v>n/a</v>
      </c>
      <c r="K44" s="61" t="str">
        <f>IFERROR('Concept(s) Analysis Breakdown'!$Q15,"n/a")</f>
        <v>n/a</v>
      </c>
      <c r="L44" s="56">
        <f>AVERAGE(Table5785[[#This Row],[Prime hours]:[KeYS]])</f>
        <v>540.65238095238101</v>
      </c>
      <c r="M44" s="57">
        <f>_xlfn.STDEV.S(Table5785[[#This Row],[Prime hours]:[KeYS]])</f>
        <v>207.24493078931596</v>
      </c>
    </row>
    <row r="45" spans="3:13" x14ac:dyDescent="0.2">
      <c r="C45" s="43" t="s">
        <v>9</v>
      </c>
      <c r="D45" s="61">
        <f>IFERROR('Concept(s) Analysis Breakdown'!AH8, "n/a")</f>
        <v>589.66666666666663</v>
      </c>
      <c r="E45" s="61">
        <f>IFERROR('Concept(s) Analysis Breakdown'!AH9, "n/a")</f>
        <v>759.71428571428567</v>
      </c>
      <c r="F45" s="61">
        <f>IFERROR('Concept(s) Analysis Breakdown'!AH10, "n/a")</f>
        <v>486.33333333333331</v>
      </c>
      <c r="G45" s="61">
        <f>IFERROR('Concept(s) Analysis Breakdown'!AH11, "n/a")</f>
        <v>432.5</v>
      </c>
      <c r="H45" s="61" t="str">
        <f>IFERROR('Concept(s) Analysis Breakdown'!AH12, "n/a")</f>
        <v>n/a</v>
      </c>
      <c r="I45" s="61" t="str">
        <f>IFERROR('Concept(s) Analysis Breakdown'!AH13, "n/a")</f>
        <v>n/a</v>
      </c>
      <c r="J45" s="61" t="str">
        <f>IFERROR('Concept(s) Analysis Breakdown'!AH14, "n/a")</f>
        <v>n/a</v>
      </c>
      <c r="K45" s="61" t="str">
        <f>IFERROR('Concept(s) Analysis Breakdown'!AH15, "n/a")</f>
        <v>n/a</v>
      </c>
      <c r="L45" s="56">
        <f>AVERAGE(Table5785[[#This Row],[Prime hours]:[KeYS]])</f>
        <v>567.05357142857133</v>
      </c>
      <c r="M45" s="57">
        <f>_xlfn.STDEV.S(Table5785[[#This Row],[Prime hours]:[KeYS]])</f>
        <v>144.04851419766493</v>
      </c>
    </row>
    <row r="46" spans="3:13" x14ac:dyDescent="0.2">
      <c r="C46" s="43" t="s">
        <v>3</v>
      </c>
      <c r="D46" s="61">
        <f>IFERROR('Concept(s) Analysis Breakdown'!AY8, "n/a")</f>
        <v>397.83333333333331</v>
      </c>
      <c r="E46" s="61">
        <f>IFERROR('Concept(s) Analysis Breakdown'!AY9, "n/a")</f>
        <v>401</v>
      </c>
      <c r="F46" s="61">
        <f>IFERROR('Concept(s) Analysis Breakdown'!AY10, "n/a")</f>
        <v>273.66666666666669</v>
      </c>
      <c r="G46" s="61">
        <f>IFERROR('Concept(s) Analysis Breakdown'!AY11, "n/a")</f>
        <v>659.33333333333337</v>
      </c>
      <c r="H46" s="61" t="str">
        <f>IFERROR('Concept(s) Analysis Breakdown'!AY12, "n/a")</f>
        <v>n/a</v>
      </c>
      <c r="I46" s="61" t="str">
        <f>IFERROR('Concept(s) Analysis Breakdown'!AY13, "n/a")</f>
        <v>n/a</v>
      </c>
      <c r="J46" s="61" t="str">
        <f>IFERROR('Concept(s) Analysis Breakdown'!AY14, "n/a")</f>
        <v>n/a</v>
      </c>
      <c r="K46" s="61" t="str">
        <f>IFERROR('Concept(s) Analysis Breakdown'!AY15, "n/a")</f>
        <v>n/a</v>
      </c>
      <c r="L46" s="56">
        <f>AVERAGE(Table5785[[#This Row],[Prime hours]:[KeYS]])</f>
        <v>432.95833333333337</v>
      </c>
      <c r="M46" s="57">
        <f>_xlfn.STDEV.S(Table5785[[#This Row],[Prime hours]:[KeYS]])</f>
        <v>162.14661718014014</v>
      </c>
    </row>
    <row r="47" spans="3:13" x14ac:dyDescent="0.2">
      <c r="C47" s="43" t="s">
        <v>13</v>
      </c>
      <c r="D47" s="61">
        <f>IFERROR('Concept(s) Analysis Breakdown'!BP8, "n/a")</f>
        <v>660.5</v>
      </c>
      <c r="E47" s="61">
        <f>IFERROR('Concept(s) Analysis Breakdown'!BP9, "n/a")</f>
        <v>1245</v>
      </c>
      <c r="F47" s="61">
        <f>IFERROR('Concept(s) Analysis Breakdown'!BP10, "n/a")</f>
        <v>1204.2</v>
      </c>
      <c r="G47" s="61">
        <f>IFERROR('Concept(s) Analysis Breakdown'!BP11, "n/a")</f>
        <v>604</v>
      </c>
      <c r="H47" s="61">
        <f>IFERROR('Concept(s) Analysis Breakdown'!BP12, "n/a")</f>
        <v>1280</v>
      </c>
      <c r="I47" s="61" t="str">
        <f>IFERROR('Concept(s) Analysis Breakdown'!BP13, "n/a")</f>
        <v>n/a</v>
      </c>
      <c r="J47" s="61">
        <f>IFERROR('Concept(s) Analysis Breakdown'!BP14, "n/a")</f>
        <v>564</v>
      </c>
      <c r="K47" s="61">
        <f>IFERROR('Concept(s) Analysis Breakdown'!BP15, "n/a")</f>
        <v>217</v>
      </c>
      <c r="L47" s="56">
        <f>AVERAGE(Table5785[[#This Row],[Prime hours]:[KeYS]])</f>
        <v>824.9571428571428</v>
      </c>
      <c r="M47" s="57">
        <f>_xlfn.STDEV.S(Table5785[[#This Row],[Prime hours]:[KeYS]])</f>
        <v>416.51408082297741</v>
      </c>
    </row>
    <row r="48" spans="3:13" x14ac:dyDescent="0.2">
      <c r="C48" s="43" t="s">
        <v>139</v>
      </c>
      <c r="D48" s="61">
        <f>IFERROR('Concept(s) Analysis Breakdown'!CG8, "n/a")</f>
        <v>493.125</v>
      </c>
      <c r="E48" s="61">
        <f>IFERROR('Concept(s) Analysis Breakdown'!CG9, "n/a")</f>
        <v>493.14285714285717</v>
      </c>
      <c r="F48" s="61">
        <f>IFERROR('Concept(s) Analysis Breakdown'!CG10, "n/a")</f>
        <v>473.63636363636363</v>
      </c>
      <c r="G48" s="61">
        <f>IFERROR('Concept(s) Analysis Breakdown'!CG11, "n/a")</f>
        <v>295</v>
      </c>
      <c r="H48" s="61" t="str">
        <f>IFERROR('Concept(s) Analysis Breakdown'!CG12, "n/a")</f>
        <v>n/a</v>
      </c>
      <c r="I48" s="61" t="str">
        <f>IFERROR('Concept(s) Analysis Breakdown'!CG13, "n/a")</f>
        <v>n/a</v>
      </c>
      <c r="J48" s="61" t="str">
        <f>IFERROR('Concept(s) Analysis Breakdown'!CG14, "n/a")</f>
        <v>n/a</v>
      </c>
      <c r="K48" s="61" t="str">
        <f>IFERROR('Concept(s) Analysis Breakdown'!CG15, "n/a")</f>
        <v>n/a</v>
      </c>
      <c r="L48" s="56">
        <f>AVERAGE(Table5785[[#This Row],[Prime hours]:[KeYS]])</f>
        <v>438.72605519480521</v>
      </c>
      <c r="M48" s="57">
        <f>_xlfn.STDEV.S(Table5785[[#This Row],[Prime hours]:[KeYS]])</f>
        <v>96.25719385673132</v>
      </c>
    </row>
    <row r="49" spans="3:15" x14ac:dyDescent="0.2">
      <c r="C49" s="43" t="s">
        <v>20</v>
      </c>
      <c r="D49" s="61">
        <f>IFERROR('Concept(s) Analysis Breakdown'!CX8, "n/a")</f>
        <v>1279</v>
      </c>
      <c r="E49" s="61" t="str">
        <f>IFERROR('Concept(s) Analysis Breakdown'!CX9, "n/a")</f>
        <v>n/a</v>
      </c>
      <c r="F49" s="61">
        <f>IFERROR('Concept(s) Analysis Breakdown'!CX10, "n/a")</f>
        <v>641.5</v>
      </c>
      <c r="G49" s="61">
        <f>IFERROR('Concept(s) Analysis Breakdown'!CX11, "n/a")</f>
        <v>448</v>
      </c>
      <c r="H49" s="61" t="str">
        <f>IFERROR('Concept(s) Analysis Breakdown'!CX12, "n/a")</f>
        <v>n/a</v>
      </c>
      <c r="I49" s="61">
        <f>IFERROR('Concept(s) Analysis Breakdown'!CX13, "n/a")</f>
        <v>396</v>
      </c>
      <c r="J49" s="61" t="str">
        <f>IFERROR('Concept(s) Analysis Breakdown'!CX14, "n/a")</f>
        <v>n/a</v>
      </c>
      <c r="K49" s="61" t="str">
        <f>IFERROR('Concept(s) Analysis Breakdown'!CX15, "n/a")</f>
        <v>n/a</v>
      </c>
      <c r="L49" s="56">
        <f>AVERAGE(Table5785[[#This Row],[Prime hours]:[KeYS]])</f>
        <v>691.125</v>
      </c>
      <c r="M49" s="57">
        <f>_xlfn.STDEV.S(Table5785[[#This Row],[Prime hours]:[KeYS]])</f>
        <v>405.90154286476911</v>
      </c>
    </row>
    <row r="50" spans="3:15" x14ac:dyDescent="0.2">
      <c r="C50" s="43" t="s">
        <v>51</v>
      </c>
      <c r="D50" s="61">
        <f>IFERROR('Concept(s) Analysis Breakdown'!DO8, "n/a")</f>
        <v>492.66666666666669</v>
      </c>
      <c r="E50" s="61">
        <f>IFERROR('Concept(s) Analysis Breakdown'!DO9, "n/a")</f>
        <v>569</v>
      </c>
      <c r="F50" s="61">
        <f>IFERROR('Concept(s) Analysis Breakdown'!DO10, "n/a")</f>
        <v>320</v>
      </c>
      <c r="G50" s="61" t="str">
        <f>IFERROR('Concept(s) Analysis Breakdown'!DO11, "n/a")</f>
        <v>n/a</v>
      </c>
      <c r="H50" s="61" t="str">
        <f>IFERROR('Concept(s) Analysis Breakdown'!DO12, "n/a")</f>
        <v>n/a</v>
      </c>
      <c r="I50" s="61" t="str">
        <f>IFERROR('Concept(s) Analysis Breakdown'!DO13, "n/a")</f>
        <v>n/a</v>
      </c>
      <c r="J50" s="61" t="str">
        <f>IFERROR('Concept(s) Analysis Breakdown'!DO14, "n/a")</f>
        <v>n/a</v>
      </c>
      <c r="K50" s="61">
        <f>IFERROR('Concept(s) Analysis Breakdown'!DO15, "n/a")</f>
        <v>150</v>
      </c>
      <c r="L50" s="56">
        <f>AVERAGE(Table5785[[#This Row],[Prime hours]:[KeYS]])</f>
        <v>382.91666666666669</v>
      </c>
      <c r="M50" s="57">
        <f>_xlfn.STDEV.S(Table5785[[#This Row],[Prime hours]:[KeYS]])</f>
        <v>186.97660281436285</v>
      </c>
    </row>
    <row r="51" spans="3:15" x14ac:dyDescent="0.2">
      <c r="C51" s="43" t="s">
        <v>68</v>
      </c>
      <c r="D51" s="61">
        <f>IFERROR('Concept(s) Analysis Breakdown'!EF8, "n/a")</f>
        <v>233.5</v>
      </c>
      <c r="E51" s="61" t="str">
        <f>IFERROR('Concept(s) Analysis Breakdown'!EF9, "n/a")</f>
        <v>n/a</v>
      </c>
      <c r="F51" s="61" t="str">
        <f>IFERROR('Concept(s) Analysis Breakdown'!EF10, "n/a")</f>
        <v>n/a</v>
      </c>
      <c r="G51" s="61">
        <f>IFERROR('Concept(s) Analysis Breakdown'!EF11, "n/a")</f>
        <v>644.5</v>
      </c>
      <c r="H51" s="61" t="str">
        <f>IFERROR('Concept(s) Analysis Breakdown'!EF12, "n/a")</f>
        <v>n/a</v>
      </c>
      <c r="I51" s="61">
        <f>IFERROR('Concept(s) Analysis Breakdown'!EF13, "n/a")</f>
        <v>628</v>
      </c>
      <c r="J51" s="61" t="str">
        <f>IFERROR('Concept(s) Analysis Breakdown'!EF14, "n/a")</f>
        <v>n/a</v>
      </c>
      <c r="K51" s="61" t="str">
        <f>IFERROR('Concept(s) Analysis Breakdown'!EF15, "n/a")</f>
        <v>n/a</v>
      </c>
      <c r="L51" s="56">
        <f>AVERAGE(Table5785[[#This Row],[Prime hours]:[KeYS]])</f>
        <v>502</v>
      </c>
      <c r="M51" s="57">
        <f>_xlfn.STDEV.S(Table5785[[#This Row],[Prime hours]:[KeYS]])</f>
        <v>232.6741283426243</v>
      </c>
    </row>
    <row r="52" spans="3:15" x14ac:dyDescent="0.2">
      <c r="D52"/>
      <c r="E52"/>
      <c r="F52"/>
      <c r="O52" t="s">
        <v>144</v>
      </c>
    </row>
    <row r="53" spans="3:15" x14ac:dyDescent="0.2">
      <c r="D53" s="39"/>
      <c r="E53" s="39"/>
      <c r="F53" s="39"/>
    </row>
    <row r="54" spans="3:15" ht="18" x14ac:dyDescent="0.25">
      <c r="C54" s="37" t="s">
        <v>178</v>
      </c>
      <c r="D54"/>
      <c r="E54"/>
      <c r="F54"/>
    </row>
    <row r="55" spans="3:15" x14ac:dyDescent="0.2">
      <c r="C55" s="55" t="s">
        <v>140</v>
      </c>
      <c r="D55" s="47" t="s">
        <v>118</v>
      </c>
      <c r="E55" s="47" t="s">
        <v>117</v>
      </c>
      <c r="F55" s="47" t="s">
        <v>121</v>
      </c>
      <c r="G55" s="47" t="s">
        <v>119</v>
      </c>
      <c r="H55" s="47" t="s">
        <v>116</v>
      </c>
      <c r="I55" s="47" t="s">
        <v>126</v>
      </c>
      <c r="J55" s="47" t="s">
        <v>120</v>
      </c>
      <c r="K55" s="47" t="s">
        <v>114</v>
      </c>
      <c r="L55" s="50" t="s">
        <v>136</v>
      </c>
      <c r="M55" s="50" t="s">
        <v>137</v>
      </c>
    </row>
    <row r="56" spans="3:15" x14ac:dyDescent="0.2">
      <c r="C56" s="43" t="s">
        <v>23</v>
      </c>
      <c r="D56" s="70" t="str" cm="1">
        <f t="array" ref="D56">IFERROR((D7+D44)/((SUM(IF('Concept(s) Analysis Breakdown'!$J$6:$J$150='Concept(s) Analysis Breakdown'!N8,'Concept(s) Analysis Breakdown'!$F$6:$F$17)))/SUM(IF('Concept(s) Analysis Breakdown'!$J$6:$J$150='Concept(s) Analysis Breakdown'!N8,1,0))),"n/a")</f>
        <v>n/a</v>
      </c>
      <c r="E56" s="70" cm="1">
        <f t="array" ref="E56">IFERROR((E7+E44)/((SUM(IF('Concept(s) Analysis Breakdown'!$J$6:$J$170='Concept(s) Analysis Breakdown'!N9,'Concept(s) Analysis Breakdown'!$F$6:$F$170)))/SUM(IF('Concept(s) Analysis Breakdown'!$J$6:$J$170='Concept(s) Analysis Breakdown'!N9,1,0))),"n/a")</f>
        <v>0.69138069551245263</v>
      </c>
      <c r="F56" s="70" cm="1">
        <f t="array" ref="F56">IFERROR((F7+F44)/((SUM(IF('Concept(s) Analysis Breakdown'!$J$6:$J$170='Concept(s) Analysis Breakdown'!N10,'Concept(s) Analysis Breakdown'!$F$6:$F$170)))/SUM(IF('Concept(s) Analysis Breakdown'!$J$6:$J$170='Concept(s) Analysis Breakdown'!N10,1,0))),"n/a")</f>
        <v>0.6802826180793784</v>
      </c>
      <c r="G56" s="70" cm="1">
        <f t="array" ref="G56">IFERROR((G7+G44)/((SUM(IF('Concept(s) Analysis Breakdown'!$J$6:$J$170='Concept(s) Analysis Breakdown'!N11,'Concept(s) Analysis Breakdown'!$F$6:$F$170)))/SUM(IF('Concept(s) Analysis Breakdown'!$J$6:$J$170='Concept(s) Analysis Breakdown'!N11,1,0))),"n/a")</f>
        <v>0.56657263751763043</v>
      </c>
      <c r="H56" s="70" t="str" cm="1">
        <f t="array" ref="H56">IFERROR((H7+H44)/((SUM(IF('Concept(s) Analysis Breakdown'!$J$6:$J$170='Concept(s) Analysis Breakdown'!N12,'Concept(s) Analysis Breakdown'!$F$6:$F$170)))/SUM(IF('Concept(s) Analysis Breakdown'!$J$6:$J$170='Concept(s) Analysis Breakdown'!N12,1,0))),"n/a")</f>
        <v>n/a</v>
      </c>
      <c r="I56" s="70" cm="1">
        <f t="array" ref="I56">IFERROR((I7+I44)/((SUM(IF('Concept(s) Analysis Breakdown'!$J$6:$J$17='Concept(s) Analysis Breakdown'!N13,'Concept(s) Analysis Breakdown'!$F$6:$F$17)))/SUM(IF('Concept(s) Analysis Breakdown'!$J$6:$J$17='Concept(s) Analysis Breakdown'!N13,1,0))),"n/a")</f>
        <v>0.7396935031297216</v>
      </c>
      <c r="J56" s="70" t="str" cm="1">
        <f t="array" ref="J56">IFERROR((J7+J44)/((SUM(IF('Concept(s) Analysis Breakdown'!$J$6:$J$17='Concept(s) Analysis Breakdown'!N14,'Concept(s) Analysis Breakdown'!$F$6:$F$17)))/SUM(IF('Concept(s) Analysis Breakdown'!$J$6:$J$17='Concept(s) Analysis Breakdown'!N14,1,0))),"n/a")</f>
        <v>n/a</v>
      </c>
      <c r="K56" s="70" t="str" cm="1">
        <f t="array" ref="K56">IFERROR((K7+K44)/((SUM(IF('Concept(s) Analysis Breakdown'!$J$6:$J$17='Concept(s) Analysis Breakdown'!N15,'Concept(s) Analysis Breakdown'!$F$6:$F$17)))/SUM(IF('Concept(s) Analysis Breakdown'!$J$6:$J$17='Concept(s) Analysis Breakdown'!N15,1,0))),"n/a")</f>
        <v>n/a</v>
      </c>
      <c r="L56" s="58">
        <f>AVERAGE(Table57859[[#This Row],[Prime hours]:[KeYS]])</f>
        <v>0.66948236355979573</v>
      </c>
      <c r="M56" s="59">
        <f>_xlfn.STDEV.S(Table57859[[#This Row],[Prime hours]:[KeYS]])</f>
        <v>7.3294379670334989E-2</v>
      </c>
    </row>
    <row r="57" spans="3:15" x14ac:dyDescent="0.2">
      <c r="C57" s="43" t="s">
        <v>9</v>
      </c>
      <c r="D57" s="70" cm="1">
        <f t="array" ref="D57">IFERROR((D8+D45)/((SUM(IF('Concept(s) Analysis Breakdown'!$AA$6:$AA$200='Concept(s) Analysis Breakdown'!AE8,'Concept(s) Analysis Breakdown'!$W$6:$W$200)))/SUM(IF('Concept(s) Analysis Breakdown'!$AA$6:$AA$200='Concept(s) Analysis Breakdown'!AE8,1,0))),"n/a")</f>
        <v>0.73589743589743595</v>
      </c>
      <c r="E57" s="70" cm="1">
        <f t="array" ref="E57">IFERROR((E8+E45)/((SUM(IF('Concept(s) Analysis Breakdown'!$AA$6:$AA$200='Concept(s) Analysis Breakdown'!AE9,'Concept(s) Analysis Breakdown'!$W$6:$W$200)))/SUM(IF('Concept(s) Analysis Breakdown'!$AA$6:$AA$200='Concept(s) Analysis Breakdown'!AE9,1,0))),"n/a")</f>
        <v>0.66503274350788721</v>
      </c>
      <c r="F57" s="70" cm="1">
        <f t="array" ref="F57">IFERROR((F8+F45)/((SUM(IF('Concept(s) Analysis Breakdown'!$AA$6:$AA$200='Concept(s) Analysis Breakdown'!AE10,'Concept(s) Analysis Breakdown'!$W$6:$W$200)))/SUM(IF('Concept(s) Analysis Breakdown'!$AA$6:$AA$200='Concept(s) Analysis Breakdown'!AE10,1,0))),"n/a")</f>
        <v>0.80303782388563483</v>
      </c>
      <c r="G57" s="70" cm="1">
        <f t="array" ref="G57">IFERROR((G8+G45)/((SUM(IF('Concept(s) Analysis Breakdown'!$AA$6:$AA$200='Concept(s) Analysis Breakdown'!AE11,'Concept(s) Analysis Breakdown'!$W$6:$W$200)))/SUM(IF('Concept(s) Analysis Breakdown'!$AA$6:$AA$200='Concept(s) Analysis Breakdown'!AE11,1,0))),"n/a")</f>
        <v>0.7288188778712188</v>
      </c>
      <c r="H57" s="70" t="str" cm="1">
        <f t="array" ref="H57">IFERROR((H8+H45)/((SUM(IF('Concept(s) Analysis Breakdown'!$AA$6:$AA$200='Concept(s) Analysis Breakdown'!AE12,'Concept(s) Analysis Breakdown'!$W$6:$W$200)))/SUM(IF('Concept(s) Analysis Breakdown'!$AA$6:$AA$200='Concept(s) Analysis Breakdown'!AE12,1,0))),"n/a")</f>
        <v>n/a</v>
      </c>
      <c r="I57" s="70" t="str" cm="1">
        <f t="array" ref="I57">IFERROR((I8+I45)/((SUM(IF('Concept(s) Analysis Breakdown'!$AA$6:$AA$200='Concept(s) Analysis Breakdown'!AE13,'Concept(s) Analysis Breakdown'!$W$6:$W$200)))/SUM(IF('Concept(s) Analysis Breakdown'!$AA$6:$AA$200='Concept(s) Analysis Breakdown'!AE13,1,0))),"n/a")</f>
        <v>n/a</v>
      </c>
      <c r="J57" s="70" t="str" cm="1">
        <f t="array" ref="J57">IFERROR((J8+J45)/((SUM(IF('Concept(s) Analysis Breakdown'!$AA$6:$AA$200='Concept(s) Analysis Breakdown'!AE14,'Concept(s) Analysis Breakdown'!$W$6:$W$200)))/SUM(IF('Concept(s) Analysis Breakdown'!$AA$6:$AA$200='Concept(s) Analysis Breakdown'!AE14,1,0))),"n/a")</f>
        <v>n/a</v>
      </c>
      <c r="K57" s="70" t="str" cm="1">
        <f t="array" ref="K57">IFERROR((K8+K45)/((SUM(IF('Concept(s) Analysis Breakdown'!$AA$6:$AA$200='Concept(s) Analysis Breakdown'!AE15,'Concept(s) Analysis Breakdown'!$W$6:$W$200)))/SUM(IF('Concept(s) Analysis Breakdown'!$AA$6:$AA$200='Concept(s) Analysis Breakdown'!AE15,1,0))),"n/a")</f>
        <v>n/a</v>
      </c>
      <c r="L57" s="58">
        <f>AVERAGE(Table57859[[#This Row],[Prime hours]:[KeYS]])</f>
        <v>0.73319672029054428</v>
      </c>
      <c r="M57" s="59">
        <f>_xlfn.STDEV.S(Table57859[[#This Row],[Prime hours]:[KeYS]])</f>
        <v>5.6422710708970536E-2</v>
      </c>
    </row>
    <row r="58" spans="3:15" x14ac:dyDescent="0.2">
      <c r="C58" s="43" t="s">
        <v>3</v>
      </c>
      <c r="D58" s="70" cm="1">
        <f t="array" ref="D58">IFERROR((D9+D46)/((SUM(IF('Concept(s) Analysis Breakdown'!$AR$6:$AR$200='Concept(s) Analysis Breakdown'!$AV$8,'Concept(s) Analysis Breakdown'!$AN$6:$AN$200)))/SUM(IF('Concept(s) Analysis Breakdown'!$AR$6:$AR$200='Concept(s) Analysis Breakdown'!$AV$8,1,0))),"n/a")</f>
        <v>0.71723488506857247</v>
      </c>
      <c r="E58" s="70" cm="1">
        <f t="array" ref="E58">IFERROR((E9+E46)/((SUM(IF('Concept(s) Analysis Breakdown'!$AR$6:$AR$200='Concept(s) Analysis Breakdown'!$AV$9,'Concept(s) Analysis Breakdown'!$AN$6:$AN$200)))/SUM(IF('Concept(s) Analysis Breakdown'!$AR$6:$AR$200='Concept(s) Analysis Breakdown'!$AV$9,1,0))),"n/a")</f>
        <v>0.71011516173989586</v>
      </c>
      <c r="F58" s="70" cm="1">
        <f t="array" ref="F58">IFERROR((F9+F46)/((SUM(IF('Concept(s) Analysis Breakdown'!$AR$6:$AR$200='Concept(s) Analysis Breakdown'!$AV$10,'Concept(s) Analysis Breakdown'!$AN$6:$AN$200)))/SUM(IF('Concept(s) Analysis Breakdown'!$AR$6:$AR$200='Concept(s) Analysis Breakdown'!$AV$10,1,0))),"n/a")</f>
        <v>0.75825720309205913</v>
      </c>
      <c r="G58" s="70" cm="1">
        <f t="array" ref="G58">IFERROR((G9+G46)/((SUM(IF('Concept(s) Analysis Breakdown'!$AR$6:$AR$200='Concept(s) Analysis Breakdown'!$AV$11,'Concept(s) Analysis Breakdown'!$AN$6:$AN$200)))/SUM(IF('Concept(s) Analysis Breakdown'!$AR$6:$AR$200='Concept(s) Analysis Breakdown'!$AV$11,1,0))),"n/a")</f>
        <v>0.63697148475909537</v>
      </c>
      <c r="H58" s="70" t="str" cm="1">
        <f t="array" ref="H58">IFERROR((H9+H46)/((SUM(IF('Concept(s) Analysis Breakdown'!$AR$6:$AR$200='Concept(s) Analysis Breakdown'!$AV$12,'Concept(s) Analysis Breakdown'!$AN$6:$AN$200)))/SUM(IF('Concept(s) Analysis Breakdown'!$AR$6:$AR$200='Concept(s) Analysis Breakdown'!$AV$12,1,0))),"n/a")</f>
        <v>n/a</v>
      </c>
      <c r="I58" s="70" t="str" cm="1">
        <f t="array" ref="I58">IFERROR((I9+I46)/((SUM(IF('Concept(s) Analysis Breakdown'!$AR$6:$AR$200='Concept(s) Analysis Breakdown'!$AV$13,'Concept(s) Analysis Breakdown'!$AN$6:$AN$200)))/SUM(IF('Concept(s) Analysis Breakdown'!$AR$6:$AR$200='Concept(s) Analysis Breakdown'!$AV$13,1,0))),"n/a")</f>
        <v>n/a</v>
      </c>
      <c r="J58" s="70" t="str" cm="1">
        <f t="array" ref="J58">IFERROR((J9+J46)/((SUM(IF('Concept(s) Analysis Breakdown'!$AR$6:$AR$200='Concept(s) Analysis Breakdown'!$AV$14,'Concept(s) Analysis Breakdown'!$AN$6:$AN$200)))/SUM(IF('Concept(s) Analysis Breakdown'!$AR$6:$AR$200='Concept(s) Analysis Breakdown'!$AV$14,1,0))),"n/a")</f>
        <v>n/a</v>
      </c>
      <c r="K58" s="70" t="str" cm="1">
        <f t="array" ref="K58">IFERROR((K9+K46)/((SUM(IF('Concept(s) Analysis Breakdown'!$AR$6:$AR$200='Concept(s) Analysis Breakdown'!$AV$15,'Concept(s) Analysis Breakdown'!$AN$6:$AN$200)))/SUM(IF('Concept(s) Analysis Breakdown'!$AR$6:$AR$200='Concept(s) Analysis Breakdown'!$AV$15,1,0))),"n/a")</f>
        <v>n/a</v>
      </c>
      <c r="L58" s="58">
        <f>AVERAGE(Table57859[[#This Row],[Prime hours]:[KeYS]])</f>
        <v>0.70564468366490574</v>
      </c>
      <c r="M58" s="59">
        <f>_xlfn.STDEV.S(Table57859[[#This Row],[Prime hours]:[KeYS]])</f>
        <v>5.0459235663474308E-2</v>
      </c>
    </row>
    <row r="59" spans="3:15" x14ac:dyDescent="0.2">
      <c r="C59" s="43" t="s">
        <v>13</v>
      </c>
      <c r="D59" s="70" cm="1">
        <f t="array" ref="D59">IFERROR((D10+D47)/((SUM(IF('Concept(s) Analysis Breakdown'!$BI$6:$BI$200='Concept(s) Analysis Breakdown'!$BM$8,'Concept(s) Analysis Breakdown'!$BE$6:$BE$200)))/SUM(IF('Concept(s) Analysis Breakdown'!$BI$6:$BI$200='Concept(s) Analysis Breakdown'!$BM$8,1,0))),"n/a")</f>
        <v>0.79577067186778216</v>
      </c>
      <c r="E59" s="70" cm="1">
        <f t="array" ref="E59">IFERROR((E10+E47)/((SUM(IF('Concept(s) Analysis Breakdown'!$BI$6:$BI$200='Concept(s) Analysis Breakdown'!$BM$9,'Concept(s) Analysis Breakdown'!$BE$6:$BE$200)))/SUM(IF('Concept(s) Analysis Breakdown'!$BI$6:$BI$200='Concept(s) Analysis Breakdown'!$BM$9,1,0))),"n/a")</f>
        <v>0.7649293937503544</v>
      </c>
      <c r="F59" s="70" cm="1">
        <f t="array" ref="F59">IFERROR((F10+F47)/((SUM(IF('Concept(s) Analysis Breakdown'!$BI$6:$BI$200='Concept(s) Analysis Breakdown'!$BM$10,'Concept(s) Analysis Breakdown'!$BE$6:$BE$200)))/SUM(IF('Concept(s) Analysis Breakdown'!$BI$6:$BI$200='Concept(s) Analysis Breakdown'!$BM$10,1,0))),"n/a")</f>
        <v>0.77405926584069629</v>
      </c>
      <c r="G59" s="70" cm="1">
        <f t="array" ref="G59">IFERROR((G10+G47)/((SUM(IF('Concept(s) Analysis Breakdown'!$BI$6:$BI$200='Concept(s) Analysis Breakdown'!$BM$11,'Concept(s) Analysis Breakdown'!$BE$6:$BE$200)))/SUM(IF('Concept(s) Analysis Breakdown'!$BI$6:$BI$200='Concept(s) Analysis Breakdown'!$BM$11,1,0))),"n/a")</f>
        <v>0.88645312333723525</v>
      </c>
      <c r="H59" s="70" cm="1">
        <f t="array" ref="H59">IFERROR((H10+H47)/((SUM(IF('Concept(s) Analysis Breakdown'!$BI$6:$BI$200='Concept(s) Analysis Breakdown'!$BM$12,'Concept(s) Analysis Breakdown'!$BE$6:$BE$200)))/SUM(IF('Concept(s) Analysis Breakdown'!$BI$6:$BI$200='Concept(s) Analysis Breakdown'!$BM$12,1,0))),"n/a")</f>
        <v>0.82986544597031486</v>
      </c>
      <c r="I59" s="70" t="str" cm="1">
        <f t="array" ref="I59">IFERROR((I10+I47)/((SUM(IF('Concept(s) Analysis Breakdown'!$BI$6:$BI$200='Concept(s) Analysis Breakdown'!$BM$13,'Concept(s) Analysis Breakdown'!$BE$6:$BE$200)))/SUM(IF('Concept(s) Analysis Breakdown'!$BI$6:$BI$200='Concept(s) Analysis Breakdown'!$BM$13,1,0))),"n/a")</f>
        <v>n/a</v>
      </c>
      <c r="J59" s="70" cm="1">
        <f t="array" ref="J59">IFERROR((J10+J47)/((SUM(IF('Concept(s) Analysis Breakdown'!$BI$6:$BI$200='Concept(s) Analysis Breakdown'!$BM$14,'Concept(s) Analysis Breakdown'!$BE$6:$BE$200)))/SUM(IF('Concept(s) Analysis Breakdown'!$BI$6:$BI$200='Concept(s) Analysis Breakdown'!$BM$14,1,0))),"n/a")</f>
        <v>0.76275373214477504</v>
      </c>
      <c r="K59" s="70" cm="1">
        <f t="array" ref="K59">IFERROR((K10+K47)/((SUM(IF('Concept(s) Analysis Breakdown'!$BI$6:$BI$200='Concept(s) Analysis Breakdown'!$BM$15,'Concept(s) Analysis Breakdown'!$BE$6:$BE$200)))/SUM(IF('Concept(s) Analysis Breakdown'!$BI$6:$BI$200='Concept(s) Analysis Breakdown'!$BM$15,1,0))),"n/a")</f>
        <v>0.75371971092532242</v>
      </c>
      <c r="L59" s="58">
        <f>AVERAGE(Table57859[[#This Row],[Prime hours]:[KeYS]])</f>
        <v>0.79536447769092578</v>
      </c>
      <c r="M59" s="59">
        <f>_xlfn.STDEV.S(Table57859[[#This Row],[Prime hours]:[KeYS]])</f>
        <v>4.7724167326582266E-2</v>
      </c>
    </row>
    <row r="60" spans="3:15" x14ac:dyDescent="0.2">
      <c r="C60" s="43" t="s">
        <v>139</v>
      </c>
      <c r="D60" s="70" cm="1">
        <f t="array" ref="D60">IFERROR((D11+D48)/((SUM(IF('Concept(s) Analysis Breakdown'!$BZ$6:$BZ$200='Concept(s) Analysis Breakdown'!$CD$8,'Concept(s) Analysis Breakdown'!$BV$6:$BV$200)))/SUM(IF('Concept(s) Analysis Breakdown'!$BZ$6:$BZ$200='Concept(s) Analysis Breakdown'!$CD$8,1,0))),"n/a")</f>
        <v>0.59838067667812556</v>
      </c>
      <c r="E60" s="70" cm="1">
        <f t="array" ref="E60">IFERROR((E11+E48)/((SUM(IF('Concept(s) Analysis Breakdown'!$BZ$6:$BZ$200='Concept(s) Analysis Breakdown'!$CD$9,'Concept(s) Analysis Breakdown'!$BV$6:$BV$200)))/SUM(IF('Concept(s) Analysis Breakdown'!$BZ$6:$BZ$200='Concept(s) Analysis Breakdown'!$CD$9,1,0))),"n/a")</f>
        <v>0.79997180716098104</v>
      </c>
      <c r="F60" s="70" cm="1">
        <f t="array" ref="F60">IFERROR((F11+F48)/((SUM(IF('Concept(s) Analysis Breakdown'!$BZ$6:$BZ$200='Concept(s) Analysis Breakdown'!$CD$10,'Concept(s) Analysis Breakdown'!$BV$6:$BV$200)))/SUM(IF('Concept(s) Analysis Breakdown'!$BZ$6:$BZ$200='Concept(s) Analysis Breakdown'!$CD$10,1,0))),"n/a")</f>
        <v>0.77708851259439948</v>
      </c>
      <c r="G60" s="70" cm="1">
        <f t="array" ref="G60">IFERROR((G11+G48)/((SUM(IF('Concept(s) Analysis Breakdown'!$BZ$6:$BZ$200='Concept(s) Analysis Breakdown'!$CD$11,'Concept(s) Analysis Breakdown'!$BV$6:$BV$200)))/SUM(IF('Concept(s) Analysis Breakdown'!$BZ$6:$BZ$200='Concept(s) Analysis Breakdown'!$CD$11,1,0))),"n/a")</f>
        <v>0.70366259711431745</v>
      </c>
      <c r="H60" s="70" t="str" cm="1">
        <f t="array" ref="H60">IFERROR((H11+H48)/((SUM(IF('Concept(s) Analysis Breakdown'!$BZ$6:$BZ$200='Concept(s) Analysis Breakdown'!$CD$12,'Concept(s) Analysis Breakdown'!$BV$6:$BV$200)))/SUM(IF('Concept(s) Analysis Breakdown'!$BZ$6:$BZ$200='Concept(s) Analysis Breakdown'!$CD$12,1,0))),"n/a")</f>
        <v>n/a</v>
      </c>
      <c r="I60" s="70" t="str" cm="1">
        <f t="array" ref="I60">IFERROR((I11+I48)/((SUM(IF('Concept(s) Analysis Breakdown'!$BZ$6:$BZ$200='Concept(s) Analysis Breakdown'!$CD$13,'Concept(s) Analysis Breakdown'!$BV$6:$BV$200)))/SUM(IF('Concept(s) Analysis Breakdown'!$BZ$6:$BZ$200='Concept(s) Analysis Breakdown'!$CD$13,1,0))),"n/a")</f>
        <v>n/a</v>
      </c>
      <c r="J60" s="70" t="str" cm="1">
        <f t="array" ref="J60">IFERROR((J11+J48)/((SUM(IF('Concept(s) Analysis Breakdown'!$BZ$6:$BZ$200='Concept(s) Analysis Breakdown'!$CD$14,'Concept(s) Analysis Breakdown'!$BV$6:$BV$200)))/SUM(IF('Concept(s) Analysis Breakdown'!$BZ$6:$BZ$200='Concept(s) Analysis Breakdown'!$CD$14,1,0))),"n/a")</f>
        <v>n/a</v>
      </c>
      <c r="K60" s="70" t="str" cm="1">
        <f t="array" ref="K60">IFERROR((K11+K48)/((SUM(IF('Concept(s) Analysis Breakdown'!$BZ$6:$BZ$200='Concept(s) Analysis Breakdown'!$CD$15,'Concept(s) Analysis Breakdown'!$BV$6:$BV$200)))/SUM(IF('Concept(s) Analysis Breakdown'!$BZ$6:$BZ$200='Concept(s) Analysis Breakdown'!$CD$15,1,0))),"n/a")</f>
        <v>n/a</v>
      </c>
      <c r="L60" s="58">
        <f>AVERAGE(Table57859[[#This Row],[Prime hours]:[KeYS]])</f>
        <v>0.71977589838695588</v>
      </c>
      <c r="M60" s="59">
        <f>_xlfn.STDEV.S(Table57859[[#This Row],[Prime hours]:[KeYS]])</f>
        <v>9.0760780558972021E-2</v>
      </c>
    </row>
    <row r="61" spans="3:15" x14ac:dyDescent="0.2">
      <c r="C61" s="43" t="s">
        <v>20</v>
      </c>
      <c r="D61" s="70" cm="1">
        <f t="array" ref="D61">IFERROR((D12+D49)/((SUM(IF('Concept(s) Analysis Breakdown'!$CQ$6:$CQ$200='Concept(s) Analysis Breakdown'!$CU$8,'Concept(s) Analysis Breakdown'!$CM$6:$CM$200)))/SUM(IF('Concept(s) Analysis Breakdown'!$CQ$6:$CQ$200='Concept(s) Analysis Breakdown'!$CU$8,1,0))),"n/a")</f>
        <v>0.89963360376864698</v>
      </c>
      <c r="E61" s="70" t="str" cm="1">
        <f t="array" ref="E61">IFERROR((E12+E49)/((SUM(IF('Concept(s) Analysis Breakdown'!$CQ$6:$CQ$200='Concept(s) Analysis Breakdown'!$CU$9,'Concept(s) Analysis Breakdown'!$CM$6:$CM$200)))/SUM(IF('Concept(s) Analysis Breakdown'!$CQ$6:$CQ$200='Concept(s) Analysis Breakdown'!$CU$9,1,0))),"n/a")</f>
        <v>n/a</v>
      </c>
      <c r="F61" s="70" cm="1">
        <f t="array" ref="F61">IFERROR((F12+F49)/((SUM(IF('Concept(s) Analysis Breakdown'!$CQ$6:$CQ$200='Concept(s) Analysis Breakdown'!$CU$10,'Concept(s) Analysis Breakdown'!$CM$6:$CM$200)))/SUM(IF('Concept(s) Analysis Breakdown'!$CQ$6:$CQ$200='Concept(s) Analysis Breakdown'!$CU$10,1,0))),"n/a")</f>
        <v>0.85607515085024688</v>
      </c>
      <c r="G61" s="70" cm="1">
        <f t="array" ref="G61">IFERROR((G12+G49)/((SUM(IF('Concept(s) Analysis Breakdown'!$CQ$6:$CQ$200='Concept(s) Analysis Breakdown'!$CU$11,'Concept(s) Analysis Breakdown'!$CM$6:$CM$200)))/SUM(IF('Concept(s) Analysis Breakdown'!$CQ$6:$CQ$200='Concept(s) Analysis Breakdown'!$CU$11,1,0))),"n/a")</f>
        <v>0.72619258733818048</v>
      </c>
      <c r="H61" s="70" t="str" cm="1">
        <f t="array" ref="H61">IFERROR((H12+H49)/((SUM(IF('Concept(s) Analysis Breakdown'!$CQ$6:$CQ$200='Concept(s) Analysis Breakdown'!$CU$12,'Concept(s) Analysis Breakdown'!$CM$6:$CM$200)))/SUM(IF('Concept(s) Analysis Breakdown'!$CQ$6:$CQ$200='Concept(s) Analysis Breakdown'!$CU$12,1,0))),"n/a")</f>
        <v>n/a</v>
      </c>
      <c r="I61" s="70" cm="1">
        <f t="array" ref="I61">IFERROR((I12+I49)/((SUM(IF('Concept(s) Analysis Breakdown'!$CQ$6:$CQ$200='Concept(s) Analysis Breakdown'!$CU$13,'Concept(s) Analysis Breakdown'!$CM$6:$CM$200)))/SUM(IF('Concept(s) Analysis Breakdown'!$CQ$6:$CQ$200='Concept(s) Analysis Breakdown'!$CU$13,1,0))),"n/a")</f>
        <v>0.83518518518518514</v>
      </c>
      <c r="J61" s="70" t="str" cm="1">
        <f t="array" ref="J61">IFERROR((J12+J49)/((SUM(IF('Concept(s) Analysis Breakdown'!$CQ$6:$CQ$200='Concept(s) Analysis Breakdown'!$CU$14,'Concept(s) Analysis Breakdown'!$CM$6:$CM$200)))/SUM(IF('Concept(s) Analysis Breakdown'!$CQ$6:$CQ$200='Concept(s) Analysis Breakdown'!$CU$14,1,0))),"n/a")</f>
        <v>n/a</v>
      </c>
      <c r="K61" s="70" t="str" cm="1">
        <f t="array" ref="K61">IFERROR((K12+K49)/((SUM(IF('Concept(s) Analysis Breakdown'!$CQ$6:$CQ$200='Concept(s) Analysis Breakdown'!$CU$15,'Concept(s) Analysis Breakdown'!$CM$6:$CM$200)))/SUM(IF('Concept(s) Analysis Breakdown'!$CQ$6:$CQ$200='Concept(s) Analysis Breakdown'!$CU$15,1,0))),"n/a")</f>
        <v>n/a</v>
      </c>
      <c r="L61" s="58">
        <f>AVERAGE(Table57859[[#This Row],[Prime hours]:[KeYS]])</f>
        <v>0.82927163178556484</v>
      </c>
      <c r="M61" s="59">
        <f>_xlfn.STDEV.S(Table57859[[#This Row],[Prime hours]:[KeYS]])</f>
        <v>7.3777808889473023E-2</v>
      </c>
    </row>
    <row r="62" spans="3:15" x14ac:dyDescent="0.2">
      <c r="C62" s="43" t="s">
        <v>51</v>
      </c>
      <c r="D62" s="70" cm="1">
        <f t="array" ref="D62">IFERROR((D13+D50)/((SUM(IF('Concept(s) Analysis Breakdown'!$DH$6:$DH$200='Concept(s) Analysis Breakdown'!$DL$8,'Concept(s) Analysis Breakdown'!$DD$6:$DD$200)))/SUM(IF('Concept(s) Analysis Breakdown'!$DH$6:$DH$200='Concept(s) Analysis Breakdown'!$DL$8,1,0))),"n/a")</f>
        <v>0.71749172300311259</v>
      </c>
      <c r="E62" s="70" cm="1">
        <f t="array" ref="E62">IFERROR((E13+E50)/((SUM(IF('Concept(s) Analysis Breakdown'!$DH$6:$DH$200='Concept(s) Analysis Breakdown'!$DL$9,'Concept(s) Analysis Breakdown'!$DD$6:$DD$200)))/SUM(IF('Concept(s) Analysis Breakdown'!$DH$6:$DH$200='Concept(s) Analysis Breakdown'!$DL$9,1,0))),"n/a")</f>
        <v>0.76223643386310391</v>
      </c>
      <c r="F62" s="70" cm="1">
        <f t="array" ref="F62">IFERROR((F13+F50)/((SUM(IF('Concept(s) Analysis Breakdown'!$DH$6:$DH$200='Concept(s) Analysis Breakdown'!$DL$10,'Concept(s) Analysis Breakdown'!$DD$6:$DD$200)))/SUM(IF('Concept(s) Analysis Breakdown'!$DH$6:$DH$200='Concept(s) Analysis Breakdown'!$DL$10,1,0))),"n/a")</f>
        <v>0.81550747785683164</v>
      </c>
      <c r="G62" s="70" t="str" cm="1">
        <f t="array" ref="G62">IFERROR((G13+G50)/((SUM(IF('Concept(s) Analysis Breakdown'!$DH$6:$DH$200='Concept(s) Analysis Breakdown'!$DL$11,'Concept(s) Analysis Breakdown'!$DD$6:$DD$200)))/SUM(IF('Concept(s) Analysis Breakdown'!$DH$6:$DH$200='Concept(s) Analysis Breakdown'!$DL$11,1,0))),"n/a")</f>
        <v>n/a</v>
      </c>
      <c r="H62" s="70" t="str" cm="1">
        <f t="array" ref="H62">IFERROR((H13+H50)/((SUM(IF('Concept(s) Analysis Breakdown'!$DH$6:$DH$200='Concept(s) Analysis Breakdown'!$DL$12,'Concept(s) Analysis Breakdown'!$DD$6:$DD$200)))/SUM(IF('Concept(s) Analysis Breakdown'!$DH$6:$DH$200='Concept(s) Analysis Breakdown'!$DL$12,1,0))),"n/a")</f>
        <v>n/a</v>
      </c>
      <c r="I62" s="70" t="str" cm="1">
        <f t="array" ref="I62">IFERROR((I13+I50)/((SUM(IF('Concept(s) Analysis Breakdown'!$DH$6:$DH$200='Concept(s) Analysis Breakdown'!$DL$13,'Concept(s) Analysis Breakdown'!$DD$6:$DD$200)))/SUM(IF('Concept(s) Analysis Breakdown'!$DH$6:$DH$200='Concept(s) Analysis Breakdown'!$DL$13,1,0))),"n/a")</f>
        <v>n/a</v>
      </c>
      <c r="J62" s="70" t="str" cm="1">
        <f t="array" ref="J62">IFERROR((J13+J50)/((SUM(IF('Concept(s) Analysis Breakdown'!$DH$6:$DH$200='Concept(s) Analysis Breakdown'!$DL$14,'Concept(s) Analysis Breakdown'!$DD$6:$DD$200)))/SUM(IF('Concept(s) Analysis Breakdown'!$DH$6:$DH$200='Concept(s) Analysis Breakdown'!$DL$14,1,0))),"n/a")</f>
        <v>n/a</v>
      </c>
      <c r="K62" s="70" cm="1">
        <f t="array" ref="K62">IFERROR((K13+K50)/((SUM(IF('Concept(s) Analysis Breakdown'!$DH$6:$DH$200='Concept(s) Analysis Breakdown'!$DL$15,'Concept(s) Analysis Breakdown'!$DD$6:$DD$200)))/SUM(IF('Concept(s) Analysis Breakdown'!$DH$6:$DH$200='Concept(s) Analysis Breakdown'!$DL$15,1,0))),"n/a")</f>
        <v>0.40932896890343701</v>
      </c>
      <c r="L62" s="58">
        <f>AVERAGE(Table57859[[#This Row],[Prime hours]:[KeYS]])</f>
        <v>0.6761411509066213</v>
      </c>
      <c r="M62" s="59">
        <f>_xlfn.STDEV.S(Table57859[[#This Row],[Prime hours]:[KeYS]])</f>
        <v>0.18233118321062267</v>
      </c>
    </row>
    <row r="63" spans="3:15" x14ac:dyDescent="0.2">
      <c r="C63" s="43" t="s">
        <v>68</v>
      </c>
      <c r="D63" s="70" cm="1">
        <f t="array" ref="D63">IFERROR((D14+D51)/((SUM(IF('Concept(s) Analysis Breakdown'!$DY$6:$DY$200='Concept(s) Analysis Breakdown'!$EC$8,'Concept(s) Analysis Breakdown'!$DU$6:$DU$200)))/SUM(IF('Concept(s) Analysis Breakdown'!$DY$6:$DY$200='Concept(s) Analysis Breakdown'!$EC$8,1,0))),"n/a")</f>
        <v>0.57520076221587046</v>
      </c>
      <c r="E63" s="70" t="str" cm="1">
        <f t="array" ref="E63">IFERROR((E14+E51)/((SUM(IF('Concept(s) Analysis Breakdown'!$DY$6:$DY$200='Concept(s) Analysis Breakdown'!$EC$9,'Concept(s) Analysis Breakdown'!$DU$6:$DU$200)))/SUM(IF('Concept(s) Analysis Breakdown'!$DY$6:$DY$200='Concept(s) Analysis Breakdown'!$EC$9,1,0))),"n/a")</f>
        <v>n/a</v>
      </c>
      <c r="F63" s="70" t="str" cm="1">
        <f t="array" ref="F63">IFERROR((F14+F51)/((SUM(IF('Concept(s) Analysis Breakdown'!$DY$6:$DY$200='Concept(s) Analysis Breakdown'!$EC$10,'Concept(s) Analysis Breakdown'!$DU$6:$DU$200)))/SUM(IF('Concept(s) Analysis Breakdown'!$DY$6:$DY$200='Concept(s) Analysis Breakdown'!$EC$10,1,0))),"n/a")</f>
        <v>n/a</v>
      </c>
      <c r="G63" s="70" cm="1">
        <f t="array" ref="G63">IFERROR((G14+G51)/((SUM(IF('Concept(s) Analysis Breakdown'!$DY$6:$DY$200='Concept(s) Analysis Breakdown'!$EC$11,'Concept(s) Analysis Breakdown'!$DU$6:$DU$200)))/SUM(IF('Concept(s) Analysis Breakdown'!$DY$6:$DY$200='Concept(s) Analysis Breakdown'!$EC$11,1,0))),"n/a")</f>
        <v>0.87188217008363555</v>
      </c>
      <c r="H63" s="70" t="str" cm="1">
        <f t="array" ref="H63">IFERROR((H14+H51)/((SUM(IF('Concept(s) Analysis Breakdown'!$DY$6:$DY$200='Concept(s) Analysis Breakdown'!$EC$12,'Concept(s) Analysis Breakdown'!$DU$6:$DU$200)))/SUM(IF('Concept(s) Analysis Breakdown'!$DY$6:$DY$200='Concept(s) Analysis Breakdown'!$EC$12,1,0))),"n/a")</f>
        <v>n/a</v>
      </c>
      <c r="I63" s="70" cm="1">
        <f t="array" ref="I63">IFERROR((I14+I51)/((SUM(IF('Concept(s) Analysis Breakdown'!$DY$6:$DY$200='Concept(s) Analysis Breakdown'!$EC$13,'Concept(s) Analysis Breakdown'!$DU$6:$DU$200)))/SUM(IF('Concept(s) Analysis Breakdown'!$DY$6:$DY$200='Concept(s) Analysis Breakdown'!$EC$13,1,0))),"n/a")</f>
        <v>0.85121621621621624</v>
      </c>
      <c r="J63" s="70" t="str" cm="1">
        <f t="array" ref="J63">IFERROR((J14+J51)/((SUM(IF('Concept(s) Analysis Breakdown'!$DY$6:$DY$200='Concept(s) Analysis Breakdown'!$EC$14,'Concept(s) Analysis Breakdown'!$DU$6:$DU$200)))/SUM(IF('Concept(s) Analysis Breakdown'!$DY$6:$DY$200='Concept(s) Analysis Breakdown'!$EC$14,1,0))),"n/a")</f>
        <v>n/a</v>
      </c>
      <c r="K63" s="70" t="str" cm="1">
        <f t="array" ref="K63">IFERROR((K14+K51)/((SUM(IF('Concept(s) Analysis Breakdown'!$DY$6:$DY$200='Concept(s) Analysis Breakdown'!$EC$15,'Concept(s) Analysis Breakdown'!$DU$6:$DU$200)))/SUM(IF('Concept(s) Analysis Breakdown'!$DY$6:$DY$200='Concept(s) Analysis Breakdown'!$EC$15,1,0))),"n/a")</f>
        <v>n/a</v>
      </c>
      <c r="L63" s="58">
        <f>AVERAGE(Table57859[[#This Row],[Prime hours]:[KeYS]])</f>
        <v>0.76609971617190753</v>
      </c>
      <c r="M63" s="59">
        <f>_xlfn.STDEV.S(Table57859[[#This Row],[Prime hours]:[KeYS]])</f>
        <v>0.1656459428372582</v>
      </c>
    </row>
    <row r="64" spans="3:15" x14ac:dyDescent="0.2">
      <c r="C64" s="62"/>
      <c r="D64"/>
      <c r="E64"/>
      <c r="F64"/>
    </row>
    <row r="65" spans="3:10" x14ac:dyDescent="0.2">
      <c r="C65" s="62" t="s">
        <v>145</v>
      </c>
      <c r="D65"/>
      <c r="E65"/>
      <c r="F65"/>
    </row>
    <row r="66" spans="3:10" x14ac:dyDescent="0.2">
      <c r="C66" s="62" t="s">
        <v>146</v>
      </c>
    </row>
    <row r="67" spans="3:10" x14ac:dyDescent="0.2">
      <c r="C67" s="62"/>
      <c r="D67"/>
      <c r="E67"/>
      <c r="F67"/>
    </row>
    <row r="68" spans="3:10" x14ac:dyDescent="0.2">
      <c r="D68"/>
      <c r="E68"/>
      <c r="F68"/>
    </row>
    <row r="69" spans="3:10" x14ac:dyDescent="0.2">
      <c r="D69"/>
      <c r="E69"/>
      <c r="F69"/>
    </row>
    <row r="70" spans="3:10" x14ac:dyDescent="0.2">
      <c r="D70"/>
      <c r="E70" s="60"/>
      <c r="F70"/>
    </row>
    <row r="71" spans="3:10" x14ac:dyDescent="0.2">
      <c r="D71"/>
      <c r="E71"/>
      <c r="F71"/>
    </row>
    <row r="72" spans="3:10" x14ac:dyDescent="0.2">
      <c r="D72"/>
      <c r="E72"/>
      <c r="F72"/>
    </row>
    <row r="73" spans="3:10" x14ac:dyDescent="0.2">
      <c r="D73"/>
      <c r="E73"/>
      <c r="F73"/>
    </row>
    <row r="74" spans="3:10" ht="18" x14ac:dyDescent="0.25">
      <c r="C74" s="37" t="s">
        <v>189</v>
      </c>
      <c r="D74" s="5"/>
      <c r="E74"/>
      <c r="F74" s="18"/>
    </row>
    <row r="75" spans="3:10" x14ac:dyDescent="0.2">
      <c r="D75"/>
      <c r="E75"/>
      <c r="F75"/>
    </row>
    <row r="76" spans="3:10" x14ac:dyDescent="0.2">
      <c r="C76" s="1" t="s">
        <v>188</v>
      </c>
      <c r="D76" s="1" t="s">
        <v>7</v>
      </c>
      <c r="E76" s="1" t="s">
        <v>165</v>
      </c>
      <c r="F76" s="1" t="s">
        <v>166</v>
      </c>
      <c r="G76" s="1" t="s">
        <v>4</v>
      </c>
      <c r="H76" s="1" t="s">
        <v>167</v>
      </c>
      <c r="I76" s="1"/>
      <c r="J76" s="1"/>
    </row>
    <row r="77" spans="3:10" x14ac:dyDescent="0.2">
      <c r="C77" t="s">
        <v>153</v>
      </c>
      <c r="D77" s="3" cm="1">
        <f t="array" ref="D77">SUM(IF((IF(DATA[Date]&gt;=DATE(2025,12,1),DATA[Date]&lt;DATE(2026,1,1))),DATA[Hrs Streamed],0))</f>
        <v>186.2</v>
      </c>
      <c r="E77" s="5" cm="1">
        <f t="array" ref="E77">SUM(IF((IF(DATA[Date]&gt;=DATE(2025,12,1),DATA[Date]&lt;DATE(2026,1,1))),DATA[Followers Gained],0))</f>
        <v>14095</v>
      </c>
      <c r="F77" s="68">
        <f>E77/D77</f>
        <v>75.698174006444688</v>
      </c>
      <c r="G77" s="5" cm="1">
        <f t="array" ref="G77">SUM(IF((IF(DATA[Date]&gt;=DATE(2025,12,1),DATA[Date]&lt;DATE(2026,1,1))),DATA[Avg Viewers],0))/SUM(IF((IF(DATA[Date]&gt;=DATE(2025,12,1),DATA[Date]&lt;DATE(2026,1,1))),1,0))</f>
        <v>5563.826086956522</v>
      </c>
      <c r="H77" s="69" cm="1">
        <f t="array" ref="H77">(Table10[[#This Row],[Avg Viewers]]-SUM(IF((IF(DATA[Date]&gt;=DATE(2025,11,1),DATA[Date]&lt;DATE(2025,12,1))),DATA[Avg Viewers],0))/SUM(IF((IF(DATA[Date]&gt;=DATE(2025,11,1),DATA[Date]&lt;DATE(2025,12,1))),1,0)))/Table10[[#This Row],[Avg Viewers]]</f>
        <v>0.22866029007251809</v>
      </c>
      <c r="I77" s="69"/>
      <c r="J77" s="69"/>
    </row>
    <row r="78" spans="3:10" x14ac:dyDescent="0.2">
      <c r="C78" t="s">
        <v>152</v>
      </c>
      <c r="D78" s="3" cm="1">
        <f t="array" ref="D78">SUM(IF((IF(DATA[Date]&gt;=DATE(2026,1,1),DATA[Date]&lt;DATE(2026,2,1))),DATA[Hrs Streamed],0))</f>
        <v>204.8</v>
      </c>
      <c r="E78" s="5" cm="1">
        <f t="array" ref="E78">SUM(IF((IF(DATA[Date]&gt;=DATE(2026,1,1),DATA[Date]&lt;DATE(2026,2,1))),DATA[Followers Gained],0))</f>
        <v>15329</v>
      </c>
      <c r="F78" s="68">
        <f t="shared" ref="F78:F89" si="0">E78/D78</f>
        <v>74.8486328125</v>
      </c>
      <c r="G78" s="5" cm="1">
        <f t="array" ref="G78">SUM(IF((IF(DATA[Date]&gt;=DATE(2026,1,1),DATA[Date]&lt;DATE(2026,2,1))),DATA[Avg Viewers],0))/SUM(IF((IF(DATA[Date]&gt;=DATE(2026,1,1),DATA[Date]&lt;DATE(2026,2,1))),1,0))</f>
        <v>5928.608695652174</v>
      </c>
      <c r="H78" s="69">
        <f>(Table10[[#This Row],[Avg Viewers]]-G77)/Table10[[#This Row],[Avg Viewers]]</f>
        <v>6.1529209874008096E-2</v>
      </c>
      <c r="I78" s="69"/>
      <c r="J78" s="69"/>
    </row>
    <row r="79" spans="3:10" x14ac:dyDescent="0.2">
      <c r="C79" t="s">
        <v>154</v>
      </c>
      <c r="D79" s="3" cm="1">
        <f t="array" ref="D79">SUM(IF((IF(DATA[Date]&gt;=DATE(2026,2,1),DATA[Date]&lt;DATE(2026,3,1))),DATA[Hrs Streamed],0))</f>
        <v>164.39999999999998</v>
      </c>
      <c r="E79" s="5" cm="1">
        <f t="array" ref="E79">SUM(IF((IF(DATA[Date]&gt;=DATE(2026,2,1),DATA[Date]&lt;DATE(2026,3,1))),DATA[Followers Gained],0))</f>
        <v>11261</v>
      </c>
      <c r="F79" s="68">
        <f t="shared" si="0"/>
        <v>68.497566909975674</v>
      </c>
      <c r="G79" s="5" cm="1">
        <f t="array" ref="G79">SUM(IF((IF(DATA[Date]&gt;=DATE(2026,2,1),DATA[Date]&lt;DATE(2026,3,1))),DATA[Avg Viewers],0))/SUM(IF((IF(DATA[Date]&gt;=DATE(2026,2,1),DATA[Date]&lt;DATE(2026,3,1))),1,0))</f>
        <v>5895.6111111111113</v>
      </c>
      <c r="H79" s="69">
        <f>(Table10[[#This Row],[Avg Viewers]]-G78)/Table10[[#This Row],[Avg Viewers]]</f>
        <v>-5.5969744135385855E-3</v>
      </c>
      <c r="I79" s="69"/>
      <c r="J79" s="69"/>
    </row>
    <row r="80" spans="3:10" x14ac:dyDescent="0.2">
      <c r="C80" t="s">
        <v>155</v>
      </c>
      <c r="D80" s="3" cm="1">
        <f t="array" ref="D80">SUM(IF((IF(DATA[Date]&gt;=DATE(2026,3,1),DATA[Date]&lt;DATE(2026,4,1))),DATA[Hrs Streamed],0))</f>
        <v>185.29999999999998</v>
      </c>
      <c r="E80" s="5" cm="1">
        <f t="array" ref="E80">SUM(IF((IF(DATA[Date]&gt;=DATE(2026,3,1),DATA[Date]&lt;DATE(2026,4,1))),DATA[Followers Gained],0))</f>
        <v>10433</v>
      </c>
      <c r="F80" s="68">
        <f t="shared" si="0"/>
        <v>56.303291958985433</v>
      </c>
      <c r="G80" s="5" cm="1">
        <f t="array" ref="G80">SUM(IF((IF(DATA[Date]&gt;=DATE(2026,3,1),DATA[Date]&lt;DATE(2026,4,1))),DATA[Avg Viewers],0))/SUM(IF((IF(DATA[Date]&gt;=DATE(2026,3,1),DATA[Date]&lt;DATE(2026,4,1))),1,0))</f>
        <v>5367.65</v>
      </c>
      <c r="H80" s="69">
        <f>(Table10[[#This Row],[Avg Viewers]]-G79)/Table10[[#This Row],[Avg Viewers]]</f>
        <v>-9.835982433860474E-2</v>
      </c>
      <c r="I80" s="69"/>
      <c r="J80" s="69"/>
    </row>
    <row r="81" spans="3:14" x14ac:dyDescent="0.2">
      <c r="C81" t="s">
        <v>156</v>
      </c>
      <c r="D81" s="3" cm="1">
        <f t="array" ref="D81">SUM(IF((IF(DATA[Date]&gt;=DATE(2026,4,1),DATA[Date]&lt;DATE(2026,5,1))),DATA[Hrs Streamed],0))</f>
        <v>241.29999999999998</v>
      </c>
      <c r="E81" s="5" cm="1">
        <f t="array" ref="E81">SUM(IF((IF(DATA[Date]&gt;=DATE(2026,4,1),DATA[Date]&lt;DATE(2026,5,1))),DATA[Followers Gained],0))</f>
        <v>8548</v>
      </c>
      <c r="F81" s="68">
        <f t="shared" si="0"/>
        <v>35.424782428512231</v>
      </c>
      <c r="G81" s="5" cm="1">
        <f t="array" ref="G81">SUM(IF((IF(DATA[Date]&gt;=DATE(2026,4,1),DATA[Date]&lt;DATE(2026,5,1))),DATA[Avg Viewers],0))/SUM(IF((IF(DATA[Date]&gt;=DATE(2026,4,1),DATA[Date]&lt;DATE(2026,5,1))),1,0))</f>
        <v>5075.954545454545</v>
      </c>
      <c r="H81" s="69">
        <f>(Table10[[#This Row],[Avg Viewers]]-G80)/Table10[[#This Row],[Avg Viewers]]</f>
        <v>-5.7466128180100488E-2</v>
      </c>
      <c r="I81" s="69"/>
      <c r="J81" s="69"/>
    </row>
    <row r="82" spans="3:14" x14ac:dyDescent="0.2">
      <c r="C82" s="67" t="s">
        <v>157</v>
      </c>
      <c r="D82" s="3" cm="1">
        <f t="array" ref="D82">SUM(IF((IF(DATA[Date]&gt;=DATE(2026,5,1),DATA[Date]&lt;DATE(2026,6,1))),DATA[Hrs Streamed],0))</f>
        <v>8.9</v>
      </c>
      <c r="E82" s="5" cm="1">
        <f t="array" ref="E82">SUM(IF((IF(DATA[Date]&gt;=DATE(2026,5,1),DATA[Date]&lt;DATE(2026,6,1))),DATA[Followers Gained],0))</f>
        <v>755</v>
      </c>
      <c r="F82" s="68">
        <f t="shared" si="0"/>
        <v>84.831460674157299</v>
      </c>
      <c r="G82" s="5" cm="1">
        <f t="array" ref="G82">SUM(IF((IF(DATA[Date]&gt;=DATE(2026,5,1),DATA[Date]&lt;DATE(2026,6,1))),DATA[Avg Viewers],0))/SUM(IF((IF(DATA[Date]&gt;=DATE(2026,5,1),DATA[Date]&lt;DATE(2026,6,1))),1,0))</f>
        <v>8318.5</v>
      </c>
      <c r="H82" s="69">
        <f>(Table10[[#This Row],[Avg Viewers]]-G81)/Table10[[#This Row],[Avg Viewers]]</f>
        <v>0.38979929729463908</v>
      </c>
      <c r="I82" s="69"/>
      <c r="J82" s="69"/>
    </row>
    <row r="83" spans="3:14" x14ac:dyDescent="0.2">
      <c r="C83" t="s">
        <v>158</v>
      </c>
      <c r="D83" s="3" cm="1">
        <f t="array" ref="D83">SUM(IF((IF(DATA[Date]&gt;=DATE(2026,6,1),DATA[Date]&lt;DATE(2026,7,1))),DATA[Hrs Streamed],0))</f>
        <v>0</v>
      </c>
      <c r="E83" s="5" cm="1">
        <f t="array" ref="E83">SUM(IF((IF(DATA[Date]&gt;=DATE(2026,6,1),DATA[Date]&lt;DATE(2026,7,1))),DATA[Followers Gained],0))</f>
        <v>0</v>
      </c>
      <c r="F83" s="68" t="e">
        <f t="shared" si="0"/>
        <v>#DIV/0!</v>
      </c>
      <c r="G83" s="5" t="e" cm="1">
        <f t="array" ref="G83">SUM(IF((IF(DATA[Date]&gt;=DATE(2026,6,1),DATA[Date]&lt;DATE(2026,7,1))),DATA[Avg Viewers],0))/SUM(IF((IF(DATA[Date]&gt;=DATE(2026,6,1),DATA[Date]&lt;DATE(2026,7,1))),1,0))</f>
        <v>#DIV/0!</v>
      </c>
      <c r="H83" s="69" t="e">
        <f>(Table10[[#This Row],[Avg Viewers]]-G82)/Table10[[#This Row],[Avg Viewers]]</f>
        <v>#DIV/0!</v>
      </c>
      <c r="I83" s="69"/>
      <c r="J83" s="69"/>
    </row>
    <row r="84" spans="3:14" x14ac:dyDescent="0.2">
      <c r="C84" t="s">
        <v>159</v>
      </c>
      <c r="D84" s="3" cm="1">
        <f t="array" ref="D84">SUM(IF((IF(DATA[Date]&gt;=DATE(2026,7,1),DATA[Date]&lt;DATE(2026,8,1))),DATA[Hrs Streamed],0))</f>
        <v>0</v>
      </c>
      <c r="E84" s="5" cm="1">
        <f t="array" ref="E84">SUM(IF((IF(DATA[Date]&gt;=DATE(2026,7,1),DATA[Date]&lt;DATE(2026,8,1))),DATA[Followers Gained],0))</f>
        <v>0</v>
      </c>
      <c r="F84" s="68" t="e">
        <f t="shared" si="0"/>
        <v>#DIV/0!</v>
      </c>
      <c r="G84" s="5" t="e" cm="1">
        <f t="array" ref="G84">SUM(IF((IF(DATA[Date]&gt;=DATE(2026,7,1),DATA[Date]&lt;DATE(2026,8,1))),DATA[Avg Viewers],0))/SUM(IF((IF(DATA[Date]&gt;=DATE(2026,7,1),DATA[Date]&lt;DATE(2026,8,1))),1,0))</f>
        <v>#DIV/0!</v>
      </c>
      <c r="H84" s="69" t="e">
        <f>(Table10[[#This Row],[Avg Viewers]]-G83)/Table10[[#This Row],[Avg Viewers]]</f>
        <v>#DIV/0!</v>
      </c>
      <c r="I84" s="69"/>
      <c r="J84" s="69"/>
    </row>
    <row r="85" spans="3:14" x14ac:dyDescent="0.2">
      <c r="C85" t="s">
        <v>160</v>
      </c>
      <c r="D85" s="3" cm="1">
        <f t="array" ref="D85">SUM(IF((IF(DATA[Date]&gt;=DATE(2026,8,1),DATA[Date]&lt;DATE(2026,9,1))),DATA[Hrs Streamed],0))</f>
        <v>0</v>
      </c>
      <c r="E85" s="5" cm="1">
        <f t="array" ref="E85">SUM(IF((IF(DATA[Date]&gt;=DATE(2026,8,1),DATA[Date]&lt;DATE(2026,9,1))),DATA[Followers Gained],0))</f>
        <v>0</v>
      </c>
      <c r="F85" s="68" t="e">
        <f t="shared" si="0"/>
        <v>#DIV/0!</v>
      </c>
      <c r="G85" s="5" t="e" cm="1">
        <f t="array" ref="G85">SUM(IF((IF(DATA[Date]&gt;=DATE(2026,8,1),DATA[Date]&lt;DATE(2026,9,1))),DATA[Avg Viewers],0))/SUM(IF((IF(DATA[Date]&gt;=DATE(2026,8,1),DATA[Date]&lt;DATE(2026,9,1))),1,0))</f>
        <v>#DIV/0!</v>
      </c>
      <c r="H85" s="69" t="e">
        <f>(Table10[[#This Row],[Avg Viewers]]-G84)/Table10[[#This Row],[Avg Viewers]]</f>
        <v>#DIV/0!</v>
      </c>
      <c r="I85" s="69"/>
      <c r="J85" s="69"/>
    </row>
    <row r="86" spans="3:14" x14ac:dyDescent="0.2">
      <c r="C86" t="s">
        <v>161</v>
      </c>
      <c r="D86" s="3" cm="1">
        <f t="array" ref="D86">SUM(IF((IF(DATA[Date]&gt;=DATE(2026,9,1),DATA[Date]&lt;DATE(2026,10,1))),DATA[Hrs Streamed],0))</f>
        <v>0</v>
      </c>
      <c r="E86" s="5" cm="1">
        <f t="array" ref="E86">SUM(IF((IF(DATA[Date]&gt;=DATE(2026,9,1),DATA[Date]&lt;DATE(2026,10,1))),DATA[Followers Gained],0))</f>
        <v>0</v>
      </c>
      <c r="F86" s="68" t="e">
        <f t="shared" si="0"/>
        <v>#DIV/0!</v>
      </c>
      <c r="G86" s="5" t="e" cm="1">
        <f t="array" ref="G86">SUM(IF((IF(DATA[Date]&gt;=DATE(2026,9,1),DATA[Date]&lt;DATE(2026,10,1))),DATA[Avg Viewers],0))/SUM(IF((IF(DATA[Date]&gt;=DATE(2026,9,1),DATA[Date]&lt;DATE(2026,10,1))),1,0))</f>
        <v>#DIV/0!</v>
      </c>
      <c r="H86" s="69" t="e">
        <f>(Table10[[#This Row],[Avg Viewers]]-G85)/Table10[[#This Row],[Avg Viewers]]</f>
        <v>#DIV/0!</v>
      </c>
      <c r="I86" s="69"/>
      <c r="J86" s="69"/>
    </row>
    <row r="87" spans="3:14" x14ac:dyDescent="0.2">
      <c r="C87" t="s">
        <v>162</v>
      </c>
      <c r="D87" s="3" cm="1">
        <f t="array" ref="D87">SUM(IF((IF(DATA[Date]&gt;=DATE(2026,10,1),DATA[Date]&lt;DATE(2026,11,1))),DATA[Hrs Streamed],0))</f>
        <v>0</v>
      </c>
      <c r="E87" s="5" cm="1">
        <f t="array" ref="E87">SUM(IF((IF(DATA[Date]&gt;=DATE(2026,10,1),DATA[Date]&lt;DATE(2026,11,1))),DATA[Followers Gained],0))</f>
        <v>0</v>
      </c>
      <c r="F87" s="68" t="e">
        <f t="shared" si="0"/>
        <v>#DIV/0!</v>
      </c>
      <c r="G87" s="5" t="e" cm="1">
        <f t="array" ref="G87">SUM(IF((IF(DATA[Date]&gt;=DATE(2026,10,1),DATA[Date]&lt;DATE(2026,11,1))),DATA[Avg Viewers],0))/SUM(IF((IF(DATA[Date]&gt;=DATE(2026,10,1),DATA[Date]&lt;DATE(2026,11,1))),1,0))</f>
        <v>#DIV/0!</v>
      </c>
      <c r="H87" s="69" t="e">
        <f>(Table10[[#This Row],[Avg Viewers]]-G86)/Table10[[#This Row],[Avg Viewers]]</f>
        <v>#DIV/0!</v>
      </c>
      <c r="I87" s="69"/>
      <c r="J87" s="69"/>
    </row>
    <row r="88" spans="3:14" x14ac:dyDescent="0.2">
      <c r="C88" t="s">
        <v>163</v>
      </c>
      <c r="D88" s="3" cm="1">
        <f t="array" ref="D88">SUM(IF((IF(DATA[Date]&gt;=DATE(2026,11,1),DATA[Date]&lt;DATE(2026,12,1))),DATA[Hrs Streamed],0))</f>
        <v>0</v>
      </c>
      <c r="E88" s="5" cm="1">
        <f t="array" ref="E88">SUM(IF((IF(DATA[Date]&gt;=DATE(2026,11,1),DATA[Date]&lt;DATE(2026,12,1))),DATA[Followers Gained],0))</f>
        <v>0</v>
      </c>
      <c r="F88" s="68" t="e">
        <f t="shared" si="0"/>
        <v>#DIV/0!</v>
      </c>
      <c r="G88" s="5" t="e" cm="1">
        <f t="array" ref="G88">SUM(IF((IF(DATA[Date]&gt;=DATE(2026,11,1),DATA[Date]&lt;DATE(2026,12,1))),DATA[Avg Viewers],0))/SUM(IF((IF(DATA[Date]&gt;=DATE(2026,11,1),DATA[Date]&lt;DATE(2026,12,1))),1,0))</f>
        <v>#DIV/0!</v>
      </c>
      <c r="H88" s="69" t="e">
        <f>(Table10[[#This Row],[Avg Viewers]]-G87)/Table10[[#This Row],[Avg Viewers]]</f>
        <v>#DIV/0!</v>
      </c>
      <c r="I88" s="69"/>
      <c r="J88" s="69"/>
    </row>
    <row r="89" spans="3:14" x14ac:dyDescent="0.2">
      <c r="C89" t="s">
        <v>164</v>
      </c>
      <c r="D89" s="3" cm="1">
        <f t="array" ref="D89">SUM(IF((IF(DATA[Date]&gt;=DATE(2026,12,1),DATA[Date]&lt;DATE(2027,1,1))),DATA[Hrs Streamed],0))</f>
        <v>0</v>
      </c>
      <c r="E89" s="5" cm="1">
        <f t="array" ref="E89">SUM(IF((IF(DATA[Date]&gt;=DATE(2026,12,1),DATA[Date]&lt;DATE(2027,1,1))),DATA[Followers Gained],0))</f>
        <v>0</v>
      </c>
      <c r="F89" s="68" t="e">
        <f t="shared" si="0"/>
        <v>#DIV/0!</v>
      </c>
      <c r="G89" s="5" t="e" cm="1">
        <f t="array" ref="G89">SUM(IF((IF(DATA[Date]&gt;=DATE(2026,12,1),DATA[Date]&lt;DATE(2027,1,1))),DATA[Avg Viewers],0))/SUM(IF((IF(DATA[Date]&gt;=DATE(2026,12,1),DATA[Date]&lt;DATE(2027,1,1))),1,0))</f>
        <v>#DIV/0!</v>
      </c>
      <c r="H89" s="69" t="e">
        <f>(Table10[[#This Row],[Avg Viewers]]-G88)/Table10[[#This Row],[Avg Viewers]]</f>
        <v>#DIV/0!</v>
      </c>
      <c r="I89" s="69"/>
      <c r="J89" s="69"/>
    </row>
    <row r="91" spans="3:14" x14ac:dyDescent="0.2">
      <c r="C91" s="62" t="s">
        <v>190</v>
      </c>
    </row>
    <row r="92" spans="3:14" x14ac:dyDescent="0.2">
      <c r="C92" s="62" t="s">
        <v>191</v>
      </c>
    </row>
    <row r="93" spans="3:14" x14ac:dyDescent="0.2">
      <c r="C93" s="62" t="s">
        <v>192</v>
      </c>
    </row>
    <row r="94" spans="3:14" x14ac:dyDescent="0.2">
      <c r="D94" s="5"/>
      <c r="E94" s="3"/>
      <c r="H94" s="68"/>
      <c r="I94" s="73"/>
      <c r="J94" s="77"/>
      <c r="K94" s="74"/>
      <c r="L94" s="72"/>
    </row>
    <row r="95" spans="3:14" x14ac:dyDescent="0.2">
      <c r="D95" s="5"/>
      <c r="E95" s="3"/>
      <c r="H95" s="68"/>
      <c r="I95" s="73"/>
      <c r="J95" s="77"/>
      <c r="K95" s="74"/>
      <c r="L95" s="72"/>
      <c r="N95" s="72"/>
    </row>
    <row r="96" spans="3:14" x14ac:dyDescent="0.2">
      <c r="D96" s="5"/>
      <c r="E96" s="3"/>
      <c r="H96" s="68"/>
      <c r="I96" s="73"/>
      <c r="J96" s="77"/>
      <c r="K96" s="74"/>
      <c r="L96" s="72"/>
    </row>
    <row r="97" spans="4:12" x14ac:dyDescent="0.2">
      <c r="D97" s="5"/>
      <c r="E97" s="3"/>
      <c r="H97" s="68"/>
      <c r="I97" s="73"/>
      <c r="J97" s="77"/>
      <c r="K97" s="74"/>
      <c r="L97" s="72"/>
    </row>
    <row r="98" spans="4:12" x14ac:dyDescent="0.2">
      <c r="D98" s="5"/>
      <c r="E98" s="3"/>
      <c r="H98" s="68"/>
      <c r="I98" s="73"/>
      <c r="J98" s="77"/>
      <c r="K98" s="74"/>
      <c r="L98" s="72"/>
    </row>
    <row r="99" spans="4:12" x14ac:dyDescent="0.2">
      <c r="D99" s="5"/>
      <c r="E99" s="3"/>
      <c r="H99" s="68"/>
      <c r="I99" s="73"/>
      <c r="J99" s="77"/>
      <c r="K99" s="74"/>
      <c r="L99" s="72"/>
    </row>
    <row r="100" spans="4:12" x14ac:dyDescent="0.2">
      <c r="D100" s="5"/>
      <c r="E100" s="3"/>
      <c r="H100" s="68"/>
      <c r="I100" s="73"/>
      <c r="J100" s="77"/>
      <c r="K100" s="74"/>
      <c r="L100" s="72"/>
    </row>
    <row r="101" spans="4:12" x14ac:dyDescent="0.2">
      <c r="D101" s="5"/>
      <c r="E101" s="3"/>
      <c r="H101" s="68"/>
      <c r="I101" s="73"/>
      <c r="J101" s="77"/>
      <c r="K101" s="74"/>
      <c r="L101" s="72"/>
    </row>
    <row r="102" spans="4:12" x14ac:dyDescent="0.2">
      <c r="D102" s="5"/>
      <c r="E102" s="3"/>
      <c r="H102" s="68"/>
      <c r="I102" s="73"/>
      <c r="J102" s="77"/>
      <c r="K102" s="74"/>
      <c r="L102" s="72"/>
    </row>
    <row r="103" spans="4:12" x14ac:dyDescent="0.2">
      <c r="D103" s="5"/>
      <c r="E103" s="3"/>
      <c r="H103" s="68"/>
      <c r="I103" s="73"/>
      <c r="J103" s="77"/>
      <c r="K103" s="74"/>
      <c r="L103" s="72"/>
    </row>
    <row r="104" spans="4:12" x14ac:dyDescent="0.2">
      <c r="D104" s="5"/>
      <c r="E104" s="3"/>
      <c r="H104" s="68"/>
      <c r="I104" s="73"/>
      <c r="J104" s="77"/>
      <c r="K104" s="74"/>
      <c r="L104" s="72"/>
    </row>
    <row r="105" spans="4:12" x14ac:dyDescent="0.2">
      <c r="D105" s="5"/>
      <c r="E105" s="3"/>
      <c r="H105" s="68"/>
      <c r="I105" s="73"/>
      <c r="J105" s="77"/>
      <c r="K105" s="74"/>
      <c r="L105" s="72"/>
    </row>
    <row r="106" spans="4:12" x14ac:dyDescent="0.2">
      <c r="G106" s="71"/>
      <c r="H106" s="71"/>
      <c r="I106" s="71"/>
      <c r="J106" s="78"/>
      <c r="K106" s="75"/>
      <c r="L106" s="76"/>
    </row>
  </sheetData>
  <phoneticPr fontId="13" type="noConversion"/>
  <conditionalFormatting sqref="D31:D38">
    <cfRule type="expression" priority="27">
      <formula>MAX($D$31:$D$38)</formula>
    </cfRule>
  </conditionalFormatting>
  <conditionalFormatting sqref="D6:K6">
    <cfRule type="containsText" dxfId="129" priority="56" operator="containsText" text="Prime hours">
      <formula>NOT(ISERROR(SEARCH("Prime hours",D6)))</formula>
    </cfRule>
    <cfRule type="containsText" dxfId="128" priority="55" operator="containsText" text="Great times">
      <formula>NOT(ISERROR(SEARCH("Great times",D6)))</formula>
    </cfRule>
    <cfRule type="containsText" dxfId="127" priority="54" operator="containsText" text="Good times">
      <formula>NOT(ISERROR(SEARCH("Good times",D6)))</formula>
    </cfRule>
    <cfRule type="containsText" dxfId="126" priority="53" operator="containsText" text="Late-night">
      <formula>NOT(ISERROR(SEARCH("Late-night",D6)))</formula>
    </cfRule>
    <cfRule type="containsText" dxfId="125" priority="52" operator="containsText" text="Early asf">
      <formula>NOT(ISERROR(SEARCH("Early asf",D6)))</formula>
    </cfRule>
    <cfRule type="containsText" dxfId="124" priority="51" operator="containsText" text="GG EST Mfs">
      <formula>NOT(ISERROR(SEARCH("GG EST Mfs",D6)))</formula>
    </cfRule>
    <cfRule type="containsText" dxfId="123" priority="49" operator="containsText" text="KeYS">
      <formula>NOT(ISERROR(SEARCH("KeYS",D6)))</formula>
    </cfRule>
    <cfRule type="containsText" dxfId="122" priority="48" operator="containsText" text="Lol">
      <formula>NOT(ISERROR(SEARCH("Lol",D6)))</formula>
    </cfRule>
    <cfRule type="containsText" dxfId="121" priority="50" operator="containsText" text="Lol">
      <formula>NOT(ISERROR(SEARCH("Lol",D6)))</formula>
    </cfRule>
  </conditionalFormatting>
  <conditionalFormatting sqref="D18:K18">
    <cfRule type="containsText" dxfId="120" priority="42" operator="containsText" text="GG EST Mfs">
      <formula>NOT(ISERROR(SEARCH("GG EST Mfs",D18)))</formula>
    </cfRule>
    <cfRule type="containsText" dxfId="119" priority="41" operator="containsText" text="Lol">
      <formula>NOT(ISERROR(SEARCH("Lol",D18)))</formula>
    </cfRule>
    <cfRule type="containsText" dxfId="118" priority="40" operator="containsText" text="KeYS">
      <formula>NOT(ISERROR(SEARCH("KeYS",D18)))</formula>
    </cfRule>
    <cfRule type="containsText" dxfId="117" priority="39" operator="containsText" text="Lol">
      <formula>NOT(ISERROR(SEARCH("Lol",D18)))</formula>
    </cfRule>
    <cfRule type="containsText" dxfId="116" priority="44" operator="containsText" text="Late-night">
      <formula>NOT(ISERROR(SEARCH("Late-night",D18)))</formula>
    </cfRule>
    <cfRule type="containsText" dxfId="115" priority="47" operator="containsText" text="Prime hours">
      <formula>NOT(ISERROR(SEARCH("Prime hours",D18)))</formula>
    </cfRule>
    <cfRule type="containsText" dxfId="114" priority="46" operator="containsText" text="Great times">
      <formula>NOT(ISERROR(SEARCH("Great times",D18)))</formula>
    </cfRule>
    <cfRule type="containsText" dxfId="113" priority="45" operator="containsText" text="Good times">
      <formula>NOT(ISERROR(SEARCH("Good times",D18)))</formula>
    </cfRule>
    <cfRule type="containsText" dxfId="112" priority="43" operator="containsText" text="Early asf">
      <formula>NOT(ISERROR(SEARCH("Early asf",D18)))</formula>
    </cfRule>
  </conditionalFormatting>
  <conditionalFormatting sqref="D19:K26">
    <cfRule type="cellIs" dxfId="111" priority="38" operator="equal">
      <formula>"max"</formula>
    </cfRule>
  </conditionalFormatting>
  <conditionalFormatting sqref="D30:K30">
    <cfRule type="containsText" dxfId="110" priority="31" operator="containsText" text="Lol">
      <formula>NOT(ISERROR(SEARCH("Lol",D30)))</formula>
    </cfRule>
    <cfRule type="containsText" dxfId="109" priority="32" operator="containsText" text="GG EST Mfs">
      <formula>NOT(ISERROR(SEARCH("GG EST Mfs",D30)))</formula>
    </cfRule>
    <cfRule type="containsText" dxfId="108" priority="33" operator="containsText" text="Early asf">
      <formula>NOT(ISERROR(SEARCH("Early asf",D30)))</formula>
    </cfRule>
    <cfRule type="containsText" dxfId="107" priority="34" operator="containsText" text="Late-night">
      <formula>NOT(ISERROR(SEARCH("Late-night",D30)))</formula>
    </cfRule>
    <cfRule type="containsText" dxfId="106" priority="36" operator="containsText" text="Great times">
      <formula>NOT(ISERROR(SEARCH("Great times",D30)))</formula>
    </cfRule>
    <cfRule type="containsText" dxfId="105" priority="37" operator="containsText" text="Prime hours">
      <formula>NOT(ISERROR(SEARCH("Prime hours",D30)))</formula>
    </cfRule>
    <cfRule type="containsText" dxfId="104" priority="29" operator="containsText" text="Lol">
      <formula>NOT(ISERROR(SEARCH("Lol",D30)))</formula>
    </cfRule>
    <cfRule type="containsText" dxfId="103" priority="35" operator="containsText" text="Good times">
      <formula>NOT(ISERROR(SEARCH("Good times",D30)))</formula>
    </cfRule>
    <cfRule type="containsText" dxfId="102" priority="30" operator="containsText" text="KeYS">
      <formula>NOT(ISERROR(SEARCH("KeYS",D30)))</formula>
    </cfRule>
  </conditionalFormatting>
  <conditionalFormatting sqref="D31:K38">
    <cfRule type="cellIs" dxfId="101" priority="28" operator="equal">
      <formula>"max"</formula>
    </cfRule>
  </conditionalFormatting>
  <conditionalFormatting sqref="D43:K43">
    <cfRule type="containsText" dxfId="100" priority="23" operator="containsText" text="Late-night">
      <formula>NOT(ISERROR(SEARCH("Late-night",D43)))</formula>
    </cfRule>
    <cfRule type="containsText" dxfId="99" priority="26" operator="containsText" text="Prime hours">
      <formula>NOT(ISERROR(SEARCH("Prime hours",D43)))</formula>
    </cfRule>
    <cfRule type="containsText" dxfId="98" priority="25" operator="containsText" text="Great times">
      <formula>NOT(ISERROR(SEARCH("Great times",D43)))</formula>
    </cfRule>
    <cfRule type="containsText" dxfId="97" priority="24" operator="containsText" text="Good times">
      <formula>NOT(ISERROR(SEARCH("Good times",D43)))</formula>
    </cfRule>
    <cfRule type="containsText" dxfId="96" priority="22" operator="containsText" text="Early asf">
      <formula>NOT(ISERROR(SEARCH("Early asf",D43)))</formula>
    </cfRule>
    <cfRule type="containsText" dxfId="95" priority="21" operator="containsText" text="GG EST Mfs">
      <formula>NOT(ISERROR(SEARCH("GG EST Mfs",D43)))</formula>
    </cfRule>
    <cfRule type="containsText" dxfId="94" priority="20" operator="containsText" text="Lol">
      <formula>NOT(ISERROR(SEARCH("Lol",D43)))</formula>
    </cfRule>
    <cfRule type="containsText" dxfId="93" priority="19" operator="containsText" text="KeYS">
      <formula>NOT(ISERROR(SEARCH("KeYS",D43)))</formula>
    </cfRule>
    <cfRule type="containsText" dxfId="92" priority="18" operator="containsText" text="Lol">
      <formula>NOT(ISERROR(SEARCH("Lol",D43)))</formula>
    </cfRule>
  </conditionalFormatting>
  <conditionalFormatting sqref="D44:K5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ellIs" dxfId="91" priority="17" operator="equal">
      <formula>"max"</formula>
    </cfRule>
    <cfRule type="expression" priority="16">
      <formula>MAX($D$31:$D$38)</formula>
    </cfRule>
  </conditionalFormatting>
  <conditionalFormatting sqref="D55:K55">
    <cfRule type="containsText" dxfId="90" priority="7" operator="containsText" text="Lol">
      <formula>NOT(ISERROR(SEARCH("Lol",D55)))</formula>
    </cfRule>
    <cfRule type="containsText" dxfId="89" priority="15" operator="containsText" text="Prime hours">
      <formula>NOT(ISERROR(SEARCH("Prime hours",D55)))</formula>
    </cfRule>
    <cfRule type="containsText" dxfId="88" priority="8" operator="containsText" text="KeYS">
      <formula>NOT(ISERROR(SEARCH("KeYS",D55)))</formula>
    </cfRule>
    <cfRule type="containsText" dxfId="87" priority="14" operator="containsText" text="Great times">
      <formula>NOT(ISERROR(SEARCH("Great times",D55)))</formula>
    </cfRule>
    <cfRule type="containsText" dxfId="86" priority="13" operator="containsText" text="Good times">
      <formula>NOT(ISERROR(SEARCH("Good times",D55)))</formula>
    </cfRule>
    <cfRule type="containsText" dxfId="85" priority="12" operator="containsText" text="Late-night">
      <formula>NOT(ISERROR(SEARCH("Late-night",D55)))</formula>
    </cfRule>
    <cfRule type="containsText" dxfId="84" priority="11" operator="containsText" text="Early asf">
      <formula>NOT(ISERROR(SEARCH("Early asf",D55)))</formula>
    </cfRule>
    <cfRule type="containsText" dxfId="83" priority="10" operator="containsText" text="GG EST Mfs">
      <formula>NOT(ISERROR(SEARCH("GG EST Mfs",D55)))</formula>
    </cfRule>
    <cfRule type="containsText" dxfId="82" priority="9" operator="containsText" text="Lol">
      <formula>NOT(ISERROR(SEARCH("Lol",D55)))</formula>
    </cfRule>
  </conditionalFormatting>
  <conditionalFormatting sqref="D56:K56">
    <cfRule type="aboveAverage" priority="4"/>
  </conditionalFormatting>
  <conditionalFormatting sqref="D56:K6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expression" priority="5">
      <formula>MAX($D$31:$D$38)</formula>
    </cfRule>
    <cfRule type="cellIs" dxfId="81" priority="6" operator="equal">
      <formula>"max"</formula>
    </cfRule>
  </conditionalFormatting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D6A4-3401-488A-96FC-27388B61FE0C}">
  <dimension ref="A3:P13"/>
  <sheetViews>
    <sheetView showGridLines="0" showRowColHeaders="0" topLeftCell="H1" zoomScaleNormal="100" workbookViewId="0">
      <selection activeCell="AA32" sqref="AA3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2.7109375" defaultRowHeight="12.75" x14ac:dyDescent="0.2"/>
  <sheetData>
    <row r="3" spans="1:16" s="66" customFormat="1" ht="20.25" x14ac:dyDescent="0.2">
      <c r="A3"/>
      <c r="B3" s="64" t="s">
        <v>141</v>
      </c>
      <c r="C3" s="65"/>
      <c r="P3" s="65" t="s">
        <v>147</v>
      </c>
    </row>
    <row r="4" spans="1:16" x14ac:dyDescent="0.2">
      <c r="C4" s="5" t="str">
        <f>'In-Depth Analysis'!D6</f>
        <v>Prime hours</v>
      </c>
      <c r="D4" s="5" t="str">
        <f>'In-Depth Analysis'!E6</f>
        <v>Great times</v>
      </c>
      <c r="E4" s="5" t="str">
        <f>'In-Depth Analysis'!F6</f>
        <v>Good times</v>
      </c>
      <c r="F4" s="5" t="str">
        <f>'In-Depth Analysis'!G6</f>
        <v>Late-night</v>
      </c>
      <c r="G4" s="5" t="str">
        <f>'In-Depth Analysis'!H6</f>
        <v>Early asf</v>
      </c>
      <c r="H4" s="5" t="str">
        <f>'In-Depth Analysis'!I6</f>
        <v>GG EST Mfs</v>
      </c>
      <c r="I4" s="5" t="str">
        <f>'In-Depth Analysis'!J6</f>
        <v>Lol</v>
      </c>
      <c r="J4" s="5" t="str">
        <f>'In-Depth Analysis'!K6</f>
        <v>KeYS</v>
      </c>
    </row>
    <row r="5" spans="1:16" x14ac:dyDescent="0.2">
      <c r="B5" s="5" t="str">
        <f>'In-Depth Analysis'!C7</f>
        <v>Desktop + Gaming</v>
      </c>
      <c r="C5" s="5">
        <f>'In-Depth Analysis'!D7</f>
        <v>6507</v>
      </c>
      <c r="D5" s="5">
        <f>'In-Depth Analysis'!E7</f>
        <v>7483</v>
      </c>
      <c r="E5" s="5">
        <f>'In-Depth Analysis'!F7</f>
        <v>3978.2857142857142</v>
      </c>
      <c r="F5" s="5">
        <f>'In-Depth Analysis'!G7</f>
        <v>3496</v>
      </c>
      <c r="G5" s="5">
        <f>'In-Depth Analysis'!H7</f>
        <v>0</v>
      </c>
      <c r="H5" s="5">
        <f>'In-Depth Analysis'!I7</f>
        <v>6388.666666666667</v>
      </c>
      <c r="I5" s="5">
        <f>'In-Depth Analysis'!J7</f>
        <v>0</v>
      </c>
      <c r="J5" s="5">
        <f>'In-Depth Analysis'!K7</f>
        <v>0</v>
      </c>
    </row>
    <row r="6" spans="1:16" x14ac:dyDescent="0.2">
      <c r="B6" s="5" t="str">
        <f>'In-Depth Analysis'!C8</f>
        <v>Collab</v>
      </c>
      <c r="C6" s="5">
        <f>'In-Depth Analysis'!D8</f>
        <v>4648.083333333333</v>
      </c>
      <c r="D6" s="5">
        <f>'In-Depth Analysis'!E8</f>
        <v>5326.1428571428569</v>
      </c>
      <c r="E6" s="5">
        <f>'In-Depth Analysis'!F8</f>
        <v>4906.333333333333</v>
      </c>
      <c r="F6" s="5">
        <f>'In-Depth Analysis'!G8</f>
        <v>5374</v>
      </c>
      <c r="G6" s="5">
        <f>'In-Depth Analysis'!H8</f>
        <v>0</v>
      </c>
      <c r="H6" s="5">
        <f>'In-Depth Analysis'!I8</f>
        <v>0</v>
      </c>
      <c r="I6" s="5">
        <f>'In-Depth Analysis'!J8</f>
        <v>0</v>
      </c>
      <c r="J6" s="5">
        <f>'In-Depth Analysis'!K8</f>
        <v>0</v>
      </c>
    </row>
    <row r="7" spans="1:16" x14ac:dyDescent="0.2">
      <c r="B7" s="5" t="str">
        <f>'In-Depth Analysis'!C9</f>
        <v>IRL</v>
      </c>
      <c r="C7" s="5">
        <f>'In-Depth Analysis'!D9</f>
        <v>4553</v>
      </c>
      <c r="D7" s="5">
        <f>'In-Depth Analysis'!E9</f>
        <v>4439.5</v>
      </c>
      <c r="E7" s="5">
        <f>'In-Depth Analysis'!F9</f>
        <v>4402</v>
      </c>
      <c r="F7" s="5">
        <f>'In-Depth Analysis'!G9</f>
        <v>6898.333333333333</v>
      </c>
      <c r="G7" s="5">
        <f>'In-Depth Analysis'!H9</f>
        <v>0</v>
      </c>
      <c r="H7" s="5">
        <f>'In-Depth Analysis'!I9</f>
        <v>0</v>
      </c>
      <c r="I7" s="5">
        <f>'In-Depth Analysis'!J9</f>
        <v>0</v>
      </c>
      <c r="J7" s="5">
        <f>'In-Depth Analysis'!K9</f>
        <v>0</v>
      </c>
    </row>
    <row r="8" spans="1:16" x14ac:dyDescent="0.2">
      <c r="B8" s="5" t="str">
        <f>'In-Depth Analysis'!C10</f>
        <v>Barky</v>
      </c>
      <c r="C8" s="5">
        <f>'In-Depth Analysis'!D10</f>
        <v>7091.5</v>
      </c>
      <c r="D8" s="5">
        <f>'In-Depth Analysis'!E10</f>
        <v>12243</v>
      </c>
      <c r="E8" s="5">
        <f>'In-Depth Analysis'!F10</f>
        <v>8204.7999999999993</v>
      </c>
      <c r="F8" s="5">
        <f>'In-Depth Analysis'!G10</f>
        <v>7726</v>
      </c>
      <c r="G8" s="5">
        <f>'In-Depth Analysis'!H10</f>
        <v>10685</v>
      </c>
      <c r="H8" s="5">
        <f>'In-Depth Analysis'!I10</f>
        <v>0</v>
      </c>
      <c r="I8" s="5">
        <f>'In-Depth Analysis'!J10</f>
        <v>6538</v>
      </c>
      <c r="J8" s="5">
        <f>'In-Depth Analysis'!K10</f>
        <v>5102</v>
      </c>
    </row>
    <row r="9" spans="1:16" x14ac:dyDescent="0.2">
      <c r="B9" s="5" t="str">
        <f>'In-Depth Analysis'!C11</f>
        <v>OSCS bs</v>
      </c>
      <c r="C9" s="5">
        <f>'In-Depth Analysis'!D11</f>
        <v>4467.75</v>
      </c>
      <c r="D9" s="5">
        <f>'In-Depth Analysis'!E11</f>
        <v>4371.1428571428569</v>
      </c>
      <c r="E9" s="5">
        <f>'In-Depth Analysis'!F11</f>
        <v>5550.636363636364</v>
      </c>
      <c r="F9" s="5">
        <f>'In-Depth Analysis'!G11</f>
        <v>6045</v>
      </c>
      <c r="G9" s="5">
        <f>'In-Depth Analysis'!H11</f>
        <v>0</v>
      </c>
      <c r="H9" s="5">
        <f>'In-Depth Analysis'!I11</f>
        <v>0</v>
      </c>
      <c r="I9" s="5">
        <f>'In-Depth Analysis'!J11</f>
        <v>0</v>
      </c>
      <c r="J9" s="5">
        <f>'In-Depth Analysis'!K11</f>
        <v>0</v>
      </c>
    </row>
    <row r="10" spans="1:16" x14ac:dyDescent="0.2">
      <c r="B10" s="5" t="str">
        <f>'In-Depth Analysis'!C12</f>
        <v>Rizz</v>
      </c>
      <c r="C10" s="5">
        <f>'In-Depth Analysis'!D12</f>
        <v>5596</v>
      </c>
      <c r="D10" s="5">
        <f>'In-Depth Analysis'!E12</f>
        <v>0</v>
      </c>
      <c r="E10" s="5">
        <f>'In-Depth Analysis'!F12</f>
        <v>5601</v>
      </c>
      <c r="F10" s="5">
        <f>'In-Depth Analysis'!G12</f>
        <v>7742</v>
      </c>
      <c r="G10" s="5">
        <f>'In-Depth Analysis'!H12</f>
        <v>0</v>
      </c>
      <c r="H10" s="5">
        <f>'In-Depth Analysis'!I12</f>
        <v>5016</v>
      </c>
      <c r="I10" s="5">
        <f>'In-Depth Analysis'!J12</f>
        <v>0</v>
      </c>
      <c r="J10" s="5">
        <f>'In-Depth Analysis'!K12</f>
        <v>0</v>
      </c>
    </row>
    <row r="11" spans="1:16" x14ac:dyDescent="0.2">
      <c r="B11" s="5" t="str">
        <f>'In-Depth Analysis'!C13</f>
        <v>Events</v>
      </c>
      <c r="C11" s="5">
        <f>'In-Depth Analysis'!D13</f>
        <v>5539.166666666667</v>
      </c>
      <c r="D11" s="5">
        <f>'In-Depth Analysis'!E13</f>
        <v>5450</v>
      </c>
      <c r="E11" s="5">
        <f>'In-Depth Analysis'!F13</f>
        <v>5296.4</v>
      </c>
      <c r="F11" s="5">
        <f>'In-Depth Analysis'!G13</f>
        <v>0</v>
      </c>
      <c r="G11" s="5">
        <f>'In-Depth Analysis'!H13</f>
        <v>0</v>
      </c>
      <c r="H11" s="5">
        <f>'In-Depth Analysis'!I13</f>
        <v>0</v>
      </c>
      <c r="I11" s="5">
        <f>'In-Depth Analysis'!J13</f>
        <v>0</v>
      </c>
      <c r="J11" s="5">
        <f>'In-Depth Analysis'!K13</f>
        <v>2351</v>
      </c>
    </row>
    <row r="12" spans="1:16" x14ac:dyDescent="0.2">
      <c r="B12" s="5" t="str">
        <f>'In-Depth Analysis'!C14</f>
        <v>Travels</v>
      </c>
      <c r="C12" s="5">
        <f>'In-Depth Analysis'!D14</f>
        <v>3992.5</v>
      </c>
      <c r="D12" s="5">
        <f>'In-Depth Analysis'!E14</f>
        <v>0</v>
      </c>
      <c r="E12" s="5">
        <f>'In-Depth Analysis'!F14</f>
        <v>0</v>
      </c>
      <c r="F12" s="5">
        <f>'In-Depth Analysis'!G14</f>
        <v>5245.5</v>
      </c>
      <c r="G12" s="5">
        <f>'In-Depth Analysis'!H14</f>
        <v>0</v>
      </c>
      <c r="H12" s="5">
        <f>'In-Depth Analysis'!I14</f>
        <v>5671</v>
      </c>
      <c r="I12" s="5">
        <f>'In-Depth Analysis'!J14</f>
        <v>0</v>
      </c>
      <c r="J12" s="5">
        <f>'In-Depth Analysis'!K14</f>
        <v>0</v>
      </c>
    </row>
    <row r="13" spans="1:16" x14ac:dyDescent="0.2">
      <c r="C13" s="5"/>
      <c r="D13" s="5"/>
      <c r="E13" s="5"/>
      <c r="F13" s="5"/>
      <c r="G13" s="5"/>
      <c r="H13" s="5"/>
      <c r="I13" s="5"/>
      <c r="J13" s="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567613-e428-4167-ab55-a4f66cede82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00919C5D1CD245AE9967B74E8175F3" ma:contentTypeVersion="6" ma:contentTypeDescription="Create a new document." ma:contentTypeScope="" ma:versionID="0a8b4f90609cb6845069c9613b40c3b6">
  <xsd:schema xmlns:xsd="http://www.w3.org/2001/XMLSchema" xmlns:xs="http://www.w3.org/2001/XMLSchema" xmlns:p="http://schemas.microsoft.com/office/2006/metadata/properties" xmlns:ns3="36567613-e428-4167-ab55-a4f66cede826" targetNamespace="http://schemas.microsoft.com/office/2006/metadata/properties" ma:root="true" ma:fieldsID="87a86603355fbb71243c57761d46542c" ns3:_="">
    <xsd:import namespace="36567613-e428-4167-ab55-a4f66cede8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67613-e428-4167-ab55-a4f66cede8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FDCD46-5B2E-4135-9A87-56DF2C59E398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36567613-e428-4167-ab55-a4f66cede82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67FBB2D-2C30-438B-ACA7-21BB62D3A7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567613-e428-4167-ab55-a4f66cede8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B05060-5679-44BF-93C7-145E424C89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w Labels</vt:lpstr>
      <vt:lpstr>Concept(s) Analysis Breakdown</vt:lpstr>
      <vt:lpstr>In-Depth Analysis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Gonzalez Herrera</dc:creator>
  <cp:lastModifiedBy>Abraham Gonzalez Herrera</cp:lastModifiedBy>
  <dcterms:created xsi:type="dcterms:W3CDTF">2026-03-21T23:50:34Z</dcterms:created>
  <dcterms:modified xsi:type="dcterms:W3CDTF">2026-05-03T01:06:21Z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50c7b0-9e53-455f-9b3f-deab1aa8a41e_Enabled">
    <vt:lpwstr>true</vt:lpwstr>
  </property>
  <property fmtid="{D5CDD505-2E9C-101B-9397-08002B2CF9AE}" pid="3" name="MSIP_Label_bc50c7b0-9e53-455f-9b3f-deab1aa8a41e_SetDate">
    <vt:lpwstr>2026-03-21T23:59:45Z</vt:lpwstr>
  </property>
  <property fmtid="{D5CDD505-2E9C-101B-9397-08002B2CF9AE}" pid="4" name="MSIP_Label_bc50c7b0-9e53-455f-9b3f-deab1aa8a41e_Method">
    <vt:lpwstr>Standard</vt:lpwstr>
  </property>
  <property fmtid="{D5CDD505-2E9C-101B-9397-08002B2CF9AE}" pid="5" name="MSIP_Label_bc50c7b0-9e53-455f-9b3f-deab1aa8a41e_Name">
    <vt:lpwstr>defa4170-0d19-0005-0004-bc88714345d2</vt:lpwstr>
  </property>
  <property fmtid="{D5CDD505-2E9C-101B-9397-08002B2CF9AE}" pid="6" name="MSIP_Label_bc50c7b0-9e53-455f-9b3f-deab1aa8a41e_SiteId">
    <vt:lpwstr>7cc8e357-468d-472c-a6fc-c5600e789b55</vt:lpwstr>
  </property>
  <property fmtid="{D5CDD505-2E9C-101B-9397-08002B2CF9AE}" pid="7" name="MSIP_Label_bc50c7b0-9e53-455f-9b3f-deab1aa8a41e_ActionId">
    <vt:lpwstr>d515f853-3c6c-4032-a4e0-33025c74c497</vt:lpwstr>
  </property>
  <property fmtid="{D5CDD505-2E9C-101B-9397-08002B2CF9AE}" pid="8" name="MSIP_Label_bc50c7b0-9e53-455f-9b3f-deab1aa8a41e_ContentBits">
    <vt:lpwstr>0</vt:lpwstr>
  </property>
  <property fmtid="{D5CDD505-2E9C-101B-9397-08002B2CF9AE}" pid="9" name="MSIP_Label_bc50c7b0-9e53-455f-9b3f-deab1aa8a41e_Tag">
    <vt:lpwstr>10, 3, 0, 1</vt:lpwstr>
  </property>
  <property fmtid="{D5CDD505-2E9C-101B-9397-08002B2CF9AE}" pid="10" name="ContentTypeId">
    <vt:lpwstr>0x0101004600919C5D1CD245AE9967B74E8175F3</vt:lpwstr>
  </property>
</Properties>
</file>